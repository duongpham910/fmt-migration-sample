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hjs571\Desktop\★案件\入稿依頼FMT改修・格納\20190815_サーチ_ver10\"/>
    </mc:Choice>
  </mc:AlternateContent>
  <xr:revisionPtr revIDLastSave="0" documentId="13_ncr:1_{FC9F7273-2651-4DCD-B9F3-68D44C3A7D73}" xr6:coauthVersionLast="41" xr6:coauthVersionMax="41" xr10:uidLastSave="{00000000-0000-0000-0000-000000000000}"/>
  <bookViews>
    <workbookView xWindow="-120" yWindow="-120" windowWidth="29040" windowHeight="15990" tabRatio="905" xr2:uid="{00000000-000D-0000-FFFF-FFFF00000000}"/>
  </bookViews>
  <sheets>
    <sheet name="表紙" sheetId="20" r:id="rId1"/>
    <sheet name="必須マスタ" sheetId="42" state="hidden" r:id="rId2"/>
    <sheet name="デフォルト設定" sheetId="28" r:id="rId3"/>
    <sheet name="必須チェック" sheetId="43" r:id="rId4"/>
    <sheet name="変更履歴" sheetId="21" state="hidden" r:id="rId5"/>
    <sheet name="入力規則" sheetId="48" state="hidden" r:id="rId6"/>
    <sheet name="アカウント設定情報" sheetId="34" r:id="rId7"/>
    <sheet name="キャンペーン" sheetId="35" r:id="rId8"/>
    <sheet name="広告グループ" sheetId="36" r:id="rId9"/>
    <sheet name="キーワード（指定）" sheetId="13" r:id="rId10"/>
    <sheet name="キーワード（掛け合わせ）" sheetId="37" r:id="rId11"/>
    <sheet name="拡張テキスト" sheetId="38" r:id="rId12"/>
    <sheet name="レスポンシブ検索(β)" sheetId="47" r:id="rId13"/>
    <sheet name="レスポンシブ検索(β) ※入稿用" sheetId="51" r:id="rId14"/>
    <sheet name="広告表示オプション（関連付け）" sheetId="27" r:id="rId15"/>
    <sheet name="広告表示オプション（共有）" sheetId="7" r:id="rId16"/>
    <sheet name="ユーザーリスト（単体）" sheetId="25" r:id="rId17"/>
    <sheet name="ユーザーリスト（組み合わせ）" sheetId="26" r:id="rId18"/>
    <sheet name="ターゲティング（関連付け）※AP記載用" sheetId="50" r:id="rId19"/>
    <sheet name="ターゲティング（関連付け）" sheetId="33" r:id="rId20"/>
    <sheet name="掲載イメージ_拡張テキスト" sheetId="15" r:id="rId21"/>
    <sheet name="除外キーワード（指定）" sheetId="16" r:id="rId22"/>
    <sheet name="地域設定" sheetId="29" r:id="rId23"/>
    <sheet name="時間設定" sheetId="31" r:id="rId24"/>
    <sheet name="広告カスタマイザフィード" sheetId="49" r:id="rId25"/>
    <sheet name="ロボ用入稿シート確認表" sheetId="41" r:id="rId26"/>
    <sheet name="対応表_転記" sheetId="39" state="hidden" r:id="rId27"/>
    <sheet name="ID変換" sheetId="40" r:id="rId28"/>
    <sheet name="WM用入力シート" sheetId="52" r:id="rId29"/>
    <sheet name="system" sheetId="53" state="hidden" r:id="rId30"/>
  </sheets>
  <functionGroups builtInGroupCount="19"/>
  <definedNames>
    <definedName name="_xlnm._FilterDatabase" localSheetId="10" hidden="1">'キーワード（掛け合わせ）'!$O$8:$S$22</definedName>
    <definedName name="_xlnm._FilterDatabase" localSheetId="9" hidden="1">'キーワード（指定）'!#REF!</definedName>
    <definedName name="_xlnm._FilterDatabase" localSheetId="19" hidden="1">'ターゲティング（関連付け）'!#REF!</definedName>
    <definedName name="_xlnm._FilterDatabase" localSheetId="17" hidden="1">'ユーザーリスト（組み合わせ）'!$A$6:$F$20</definedName>
    <definedName name="_xlnm._FilterDatabase" localSheetId="16" hidden="1">'ユーザーリスト（単体）'!$A$8:$L$22</definedName>
    <definedName name="_xlnm._FilterDatabase" localSheetId="12" hidden="1">'レスポンシブ検索(β)'!#REF!</definedName>
    <definedName name="_xlnm._FilterDatabase" localSheetId="13" hidden="1">'レスポンシブ検索(β) ※入稿用'!#REF!</definedName>
    <definedName name="_xlnm._FilterDatabase" localSheetId="11" hidden="1">拡張テキスト!#REF!</definedName>
    <definedName name="_xlnm._FilterDatabase" localSheetId="24" hidden="1">広告カスタマイザフィード!#REF!</definedName>
    <definedName name="_xlnm._FilterDatabase" localSheetId="8" hidden="1">広告グループ!#REF!</definedName>
    <definedName name="_xlnm._FilterDatabase" localSheetId="23" hidden="1">時間設定!#REF!</definedName>
    <definedName name="_xlnm._FilterDatabase" localSheetId="21" hidden="1">'除外キーワード（指定）'!#REF!</definedName>
    <definedName name="_xlnm._FilterDatabase" localSheetId="26" hidden="1">対応表_転記!$A$3:$H$165</definedName>
    <definedName name="_xlnm._FilterDatabase" localSheetId="22" hidden="1">地域設定!#REF!</definedName>
    <definedName name="_xlnm._FilterDatabase" localSheetId="5" hidden="1">入力規則!$I$3:$BZ$11</definedName>
    <definedName name="AND">入力規則!$BJ$4:$BJ$5</definedName>
    <definedName name="AS2DocOpenMode">"AS2DocumentEdit"</definedName>
    <definedName name="CVタグ発行">入力規則!$F$4:$F$6</definedName>
    <definedName name="G_キャンペーンタイプ">入力規則!$N$4:$N$6</definedName>
    <definedName name="G_マッチタイプ">入力規則!$AF$4:$AF$7</definedName>
    <definedName name="G_広告配信最適化">入力規則!$T$4:$T$6</definedName>
    <definedName name="G_設定粒度">入力規則!$AJ$4:$AJ$7</definedName>
    <definedName name="G_入札戦略">入力規則!$K$4:$K$10</definedName>
    <definedName name="G_年齢">入力規則!$BM$4:$BM$11</definedName>
    <definedName name="G_年齢下限">入力規則!$BN$4:$BN$10</definedName>
    <definedName name="G_年齢上限">入力規則!$BO$4:$BO$9</definedName>
    <definedName name="G_配信方法">入力規則!$R$4:$R$6</definedName>
    <definedName name="G_曜日">入力規則!$BX$4:$BX$14</definedName>
    <definedName name="KPI">入力規則!$C$4:$C$8</definedName>
    <definedName name="OR">入力規則!$BH$4:$BH$5</definedName>
    <definedName name="ORかAND">入力規則!$BH$4:$BH$6</definedName>
    <definedName name="OS">入力規則!$AR$4:$AR$6</definedName>
    <definedName name="_xlnm.Print_Area" localSheetId="10">'キーワード（掛け合わせ）'!$A$1:$BE$109</definedName>
    <definedName name="_xlnm.Print_Area" localSheetId="9">'キーワード（指定）'!$A$1:$M$18</definedName>
    <definedName name="_xlnm.Print_Area" localSheetId="19">'ターゲティング（関連付け）'!$A$1:$U$30</definedName>
    <definedName name="_xlnm.Print_Area" localSheetId="18">'ターゲティング（関連付け）※AP記載用'!$A$1:$W$17</definedName>
    <definedName name="_xlnm.Print_Area" localSheetId="2">デフォルト設定!$A$1:$G$24</definedName>
    <definedName name="_xlnm.Print_Area" localSheetId="17">'ユーザーリスト（組み合わせ）'!$A$1:$R$34</definedName>
    <definedName name="_xlnm.Print_Area" localSheetId="12">'レスポンシブ検索(β)'!$A$1:$V$53</definedName>
    <definedName name="_xlnm.Print_Area" localSheetId="13">'レスポンシブ検索(β) ※入稿用'!$A$1:$AZ$22</definedName>
    <definedName name="_xlnm.Print_Area" localSheetId="11">拡張テキスト!$A$1:$AA$19</definedName>
    <definedName name="_xlnm.Print_Area" localSheetId="24">広告カスタマイザフィード!$A$1:$M$32</definedName>
    <definedName name="_xlnm.Print_Area" localSheetId="8">広告グループ!$A$1:$N$13</definedName>
    <definedName name="_xlnm.Print_Area" localSheetId="14">'広告表示オプション（関連付け）'!$A$1:$BA$30</definedName>
    <definedName name="_xlnm.Print_Area" localSheetId="15">'広告表示オプション（共有）'!$A$1:$U$79</definedName>
    <definedName name="_xlnm.Print_Area" localSheetId="23">時間設定!$A$1:$G$33</definedName>
    <definedName name="_xlnm.Print_Area" localSheetId="21">'除外キーワード（指定）'!$A$1:$E$17</definedName>
    <definedName name="_xlnm.Print_Area" localSheetId="22">地域設定!$A$1:$G$33</definedName>
    <definedName name="_xlnm.Print_Area" localSheetId="4">変更履歴!$A$1:$H$82</definedName>
    <definedName name="RMタグ発行">入力規則!$G$4:$G$6</definedName>
    <definedName name="URL">入力規則!$BF$4:$BF$6</definedName>
    <definedName name="Y_キャンペーンタイプ">入力規則!$O$4:$O$7</definedName>
    <definedName name="Y_マッチタイプ">入力規則!$AG$4:$AG$7</definedName>
    <definedName name="Y_広告配信最適化">入力規則!$U$4:$U$6</definedName>
    <definedName name="Y_設定粒度">入力規則!$AK$4:$AK$6</definedName>
    <definedName name="Y_入札戦略">入力規則!$L$4:$L$94:'入力規則'!$L$8</definedName>
    <definedName name="Y_配信方法">入力規則!$S$4:$S$6</definedName>
    <definedName name="Y_曜日">入力規則!$BY$4:$BY$11</definedName>
    <definedName name="オーディエンスの初期サイズ">入力規則!$BC$4:$BC$6</definedName>
    <definedName name="カスタマイザフィード">入力規則!$BZ$4:$BZ$8</definedName>
    <definedName name="ステータス">入力規則!$J$4:$J$7</definedName>
    <definedName name="ターゲット設定">入力規則!$BV$4:$BV$9</definedName>
    <definedName name="ターゲット地域の詳細設定">入力規則!$W$4:$W$7</definedName>
    <definedName name="ターゲティングソース">入力規則!$AD$4:$AD$7</definedName>
    <definedName name="タグソース">入力規則!$BA$4:$BA$6</definedName>
    <definedName name="デバイス">入力規則!$V$4:$V$11</definedName>
    <definedName name="デバイス※SPのみの場合">入力規則!$AS$4:$AS$5</definedName>
    <definedName name="フィー方式">入力規則!$B$4:$B$7</definedName>
    <definedName name="プロモーションの種類">入力規則!$AU$4:$AU$8</definedName>
    <definedName name="プロモーションの詳細">入力規則!$AV$4:$AV$7</definedName>
    <definedName name="ユーザーリスト_タイプ">入力規則!$AX$4:$AX$6</definedName>
    <definedName name="ユニット">入力規則!$AQ$4:$AQ$10</definedName>
    <definedName name="リストに追加するユーザー※URL">入力規則!$AY$4:$AY$9</definedName>
    <definedName name="リストに追加するユーザー※動画">入力規則!$AZ$4:$AZ$14</definedName>
    <definedName name="ルールグループ">入力規則!$BB$4:$BB$6</definedName>
    <definedName name="引き上げ率">入力規則!$BW$4:$BW$6</definedName>
    <definedName name="価格修飾子">入力規則!$AP$4:$AP$7</definedName>
    <definedName name="可否">入力規則!$E$4:$E$6</definedName>
    <definedName name="拡張CPC">入力規則!$M$4:$M$6</definedName>
    <definedName name="検索パートナーの有無">入力規則!$P$4:$P$6</definedName>
    <definedName name="見出し位置">入力規則!$AH$4:$AH$8</definedName>
    <definedName name="言語">入力規則!$AC$4:$AC$50</definedName>
    <definedName name="広告グループの種類">入力規則!$AE$4:$AE$6</definedName>
    <definedName name="広告掲載方式の指定">入力規則!$Q$4:$Q$6</definedName>
    <definedName name="広告表示_タイプ">入力規則!$AN$4:$AN$13</definedName>
    <definedName name="広告表示_言語">入力規則!$AM$4:$AM$5</definedName>
    <definedName name="構造化スニペットラベル">入力規則!$AL$4:$AL$17</definedName>
    <definedName name="行事">入力規則!$AT$4:$AT$16</definedName>
    <definedName name="柔軟なリーチ※Adg単位">入力規則!$AA$4:$AA$6</definedName>
    <definedName name="除外地域判定">入力規則!$Z$4:$Z$6</definedName>
    <definedName name="除外用_ターゲット地域の詳細設定">入力規則!$Y$4:$Y$6</definedName>
    <definedName name="小売チェーン">入力規則!$AW$4:$AW$6</definedName>
    <definedName name="条件">入力規則!$BG$4:$BG$12</definedName>
    <definedName name="世帯収入">入力規則!$BR$4:$BR$11</definedName>
    <definedName name="世帯収入下限">入力規則!$BT$4:$BT$9</definedName>
    <definedName name="世帯収入上限">入力規則!$BS$4:$BS$10</definedName>
    <definedName name="性別">入力規則!$BQ$4:$BQ$11</definedName>
    <definedName name="説明文_位置">入力規則!$AI$5:$AI$7</definedName>
    <definedName name="説明文位置">入力規則!$AI$4:$AI$7</definedName>
    <definedName name="選択肢なし">入力規則!$A$4</definedName>
    <definedName name="組み合わせルール">入力規則!$BI$4:$BI$7</definedName>
    <definedName name="通貨">入力規則!$AO$4:$AO$28</definedName>
    <definedName name="動的ターゲット">入力規則!$BU$4:$BU$8</definedName>
    <definedName name="入札単価調整比">入力規則!$BL$4:$BL$6</definedName>
    <definedName name="入札方法">入力規則!$I$4:$I$6</definedName>
    <definedName name="配信">入力規則!$BK$4:$BK$6</definedName>
    <definedName name="配信対象のユーザー">入力規則!$AB$4:$AB$6</definedName>
    <definedName name="配信地域判定">入力規則!$X$4:$X$7</definedName>
    <definedName name="媒体">入力規則!$H$4:$H$6</definedName>
    <definedName name="不明有無">入力規則!$BP$4:$BP$6</definedName>
    <definedName name="訪問日条件">入力規則!$BE$4:$BE$7</definedName>
    <definedName name="訪問履歴の蓄積">入力規則!$BD$4:$BD$6</definedName>
    <definedName name="有無">入力規則!$D$4:$D$6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19" i="33" l="1"/>
  <c r="V20" i="33"/>
  <c r="V21" i="33"/>
  <c r="V22" i="33"/>
  <c r="V23" i="33"/>
  <c r="V24" i="33"/>
  <c r="V25" i="33"/>
  <c r="V26" i="33"/>
  <c r="V27" i="33"/>
  <c r="V28" i="33"/>
  <c r="V29" i="33"/>
  <c r="V18" i="33"/>
  <c r="B31" i="53" l="1"/>
  <c r="B30" i="53" s="1"/>
  <c r="B4" i="53"/>
  <c r="B3" i="53"/>
  <c r="B2" i="53"/>
  <c r="B14" i="52"/>
  <c r="B5" i="53" s="1"/>
  <c r="B7" i="52"/>
  <c r="B7" i="53" s="1"/>
  <c r="B10" i="52"/>
  <c r="B12" i="52"/>
  <c r="B11" i="52"/>
  <c r="B6" i="53" l="1"/>
  <c r="B11" i="53"/>
  <c r="B26" i="53"/>
  <c r="B27" i="53"/>
  <c r="B17" i="53"/>
  <c r="B20" i="53"/>
  <c r="B21" i="53" s="1"/>
  <c r="B28" i="53"/>
  <c r="B10" i="53"/>
  <c r="B29" i="53"/>
  <c r="B24" i="53" l="1"/>
  <c r="B25" i="53"/>
  <c r="B23" i="53"/>
  <c r="B22" i="53"/>
  <c r="B32" i="53"/>
  <c r="B33" i="53"/>
  <c r="F17" i="16" l="1"/>
  <c r="F16" i="16"/>
  <c r="F15" i="16"/>
  <c r="F14" i="16"/>
  <c r="F13" i="16"/>
  <c r="F12" i="16"/>
  <c r="F11" i="16"/>
  <c r="F10" i="16"/>
  <c r="F9" i="16"/>
  <c r="F8" i="16"/>
  <c r="F7" i="16"/>
  <c r="F6" i="16"/>
  <c r="F5" i="16"/>
  <c r="AS20" i="51" l="1"/>
  <c r="AS19" i="51"/>
  <c r="AS18" i="51"/>
  <c r="AS17" i="51"/>
  <c r="AS16" i="51"/>
  <c r="AS15" i="51"/>
  <c r="AS14" i="51"/>
  <c r="AS13" i="51"/>
  <c r="AS12" i="51"/>
  <c r="AS11" i="51"/>
  <c r="AS10" i="51"/>
  <c r="AS9" i="51"/>
  <c r="AS8" i="51"/>
  <c r="AS7" i="51"/>
  <c r="AS6" i="51"/>
  <c r="AS5" i="51"/>
  <c r="B1" i="21"/>
  <c r="A1" i="29" l="1"/>
  <c r="B14" i="20"/>
  <c r="A1" i="26"/>
  <c r="A1" i="50"/>
  <c r="A1" i="47"/>
  <c r="A1" i="15"/>
  <c r="A1" i="51"/>
  <c r="A1" i="16"/>
  <c r="E9" i="41" s="1"/>
  <c r="A1" i="35"/>
  <c r="A1" i="7"/>
  <c r="A1" i="31"/>
  <c r="A1" i="36"/>
  <c r="A2" i="25"/>
  <c r="A1" i="49"/>
  <c r="A1" i="13"/>
  <c r="A1" i="37"/>
  <c r="A1" i="38"/>
  <c r="A1" i="33"/>
  <c r="A1" i="34"/>
  <c r="A1" i="27"/>
  <c r="BA20" i="51"/>
  <c r="BA19" i="51"/>
  <c r="BA13" i="51"/>
  <c r="BA7" i="51"/>
  <c r="BA6" i="51"/>
  <c r="BA5" i="51"/>
  <c r="Q37" i="47" l="1"/>
  <c r="P37" i="47"/>
  <c r="M37" i="47"/>
  <c r="Q22" i="47"/>
  <c r="P22" i="47"/>
  <c r="M22" i="47"/>
  <c r="E14" i="35" l="1"/>
  <c r="F14" i="35" s="1"/>
  <c r="E13" i="35"/>
  <c r="F13" i="35" s="1"/>
  <c r="E12" i="35"/>
  <c r="F12" i="35" s="1"/>
  <c r="E11" i="35"/>
  <c r="F11" i="35" s="1"/>
  <c r="E10" i="35"/>
  <c r="F10" i="35" s="1"/>
  <c r="E9" i="35"/>
  <c r="F9" i="35" s="1"/>
  <c r="E8" i="35"/>
  <c r="F8" i="35" s="1"/>
  <c r="E7" i="35"/>
  <c r="F7" i="35" s="1"/>
  <c r="AC7" i="28" l="1"/>
  <c r="AC8" i="28"/>
  <c r="AD8" i="28"/>
  <c r="AC9" i="28"/>
  <c r="AD9" i="28"/>
  <c r="AC10" i="28"/>
  <c r="AD10" i="28"/>
  <c r="AC11" i="28"/>
  <c r="AD11" i="28"/>
  <c r="AC12" i="28"/>
  <c r="AD12" i="28"/>
  <c r="AC13" i="28"/>
  <c r="AD13" i="28"/>
  <c r="AC14" i="28"/>
  <c r="AD14" i="28"/>
  <c r="AC15" i="28"/>
  <c r="AD15" i="28"/>
  <c r="AC16" i="28"/>
  <c r="AD16" i="28"/>
  <c r="AC17" i="28"/>
  <c r="AD17" i="28"/>
  <c r="AC18" i="28"/>
  <c r="AD18" i="28"/>
  <c r="AC19" i="28"/>
  <c r="AD19" i="28"/>
  <c r="AC20" i="28"/>
  <c r="AD20" i="28"/>
  <c r="AC21" i="28"/>
  <c r="AD21" i="28"/>
  <c r="AC22" i="28"/>
  <c r="AD22" i="28"/>
  <c r="AC23" i="28"/>
  <c r="AD23" i="28"/>
  <c r="AD7" i="28"/>
  <c r="W36" i="47" l="1"/>
  <c r="W35" i="47"/>
  <c r="W34" i="47"/>
  <c r="W28" i="47"/>
  <c r="L25" i="47"/>
  <c r="K25" i="47"/>
  <c r="L24" i="47"/>
  <c r="K24" i="47"/>
  <c r="L23" i="47"/>
  <c r="K23" i="47"/>
  <c r="W22" i="47"/>
  <c r="L22" i="47"/>
  <c r="K22" i="47"/>
  <c r="W51" i="47" l="1"/>
  <c r="W50" i="47"/>
  <c r="W49" i="47"/>
  <c r="W43" i="47"/>
  <c r="L40" i="47"/>
  <c r="K40" i="47"/>
  <c r="L39" i="47"/>
  <c r="K39" i="47"/>
  <c r="L38" i="47"/>
  <c r="K38" i="47"/>
  <c r="W37" i="47"/>
  <c r="L37" i="47"/>
  <c r="K37" i="47"/>
  <c r="W21" i="47"/>
  <c r="W20" i="47"/>
  <c r="W19" i="47"/>
  <c r="W13" i="47"/>
  <c r="L10" i="47"/>
  <c r="K10" i="47"/>
  <c r="L9" i="47"/>
  <c r="K9" i="47"/>
  <c r="L8" i="47"/>
  <c r="K8" i="47"/>
  <c r="W7" i="47"/>
  <c r="Q7" i="47"/>
  <c r="P7" i="47"/>
  <c r="M7" i="47"/>
  <c r="L7" i="47"/>
  <c r="K7" i="47"/>
  <c r="C6" i="34" l="1"/>
  <c r="B11" i="37" l="1"/>
  <c r="B9" i="37"/>
  <c r="B10" i="37"/>
  <c r="J5" i="29" l="1"/>
  <c r="I5" i="29"/>
  <c r="I6" i="29" l="1"/>
  <c r="J6" i="29"/>
  <c r="I7" i="29"/>
  <c r="J7" i="29"/>
  <c r="I8" i="29"/>
  <c r="J8" i="29"/>
  <c r="I9" i="29"/>
  <c r="J9" i="29"/>
  <c r="I10" i="29"/>
  <c r="J10" i="29"/>
  <c r="I11" i="29"/>
  <c r="J11" i="29"/>
  <c r="I12" i="29"/>
  <c r="J12" i="29"/>
  <c r="I13" i="29"/>
  <c r="J13" i="29"/>
  <c r="I14" i="29"/>
  <c r="J14" i="29"/>
  <c r="I15" i="29"/>
  <c r="J15" i="29"/>
  <c r="I16" i="29"/>
  <c r="J16" i="29"/>
  <c r="I17" i="29"/>
  <c r="J17" i="29"/>
  <c r="I18" i="29"/>
  <c r="J18" i="29"/>
  <c r="I19" i="29"/>
  <c r="J19" i="29"/>
  <c r="I20" i="29"/>
  <c r="J20" i="29"/>
  <c r="I21" i="29"/>
  <c r="J21" i="29"/>
  <c r="I22" i="29"/>
  <c r="J22" i="29"/>
  <c r="I23" i="29"/>
  <c r="J23" i="29"/>
  <c r="I24" i="29"/>
  <c r="J24" i="29"/>
  <c r="I25" i="29"/>
  <c r="J25" i="29"/>
  <c r="I26" i="29"/>
  <c r="J26" i="29"/>
  <c r="I27" i="29"/>
  <c r="J27" i="29"/>
  <c r="I28" i="29"/>
  <c r="J28" i="29"/>
  <c r="I29" i="29"/>
  <c r="J29" i="29"/>
  <c r="I30" i="29"/>
  <c r="J30" i="29"/>
  <c r="I31" i="29"/>
  <c r="J31" i="29"/>
  <c r="I32" i="29"/>
  <c r="J32" i="29"/>
  <c r="F13" i="41" l="1"/>
  <c r="E13" i="41"/>
  <c r="F12" i="41"/>
  <c r="E12" i="41"/>
  <c r="F11" i="41"/>
  <c r="E11" i="41"/>
  <c r="E10" i="41"/>
  <c r="F10" i="41"/>
  <c r="F9" i="41"/>
  <c r="F5" i="41"/>
  <c r="E5" i="41"/>
  <c r="F4" i="41"/>
  <c r="E4" i="41"/>
  <c r="F3" i="41"/>
  <c r="E3" i="41"/>
  <c r="H5" i="31" l="1"/>
  <c r="BD7" i="27"/>
  <c r="BE7" i="27"/>
  <c r="BD8" i="27"/>
  <c r="BE8" i="27"/>
  <c r="BD9" i="27"/>
  <c r="BE9" i="27"/>
  <c r="BD10" i="27"/>
  <c r="BE10" i="27"/>
  <c r="BD11" i="27"/>
  <c r="BE11" i="27"/>
  <c r="BD12" i="27"/>
  <c r="BE12" i="27"/>
  <c r="BD13" i="27"/>
  <c r="BE13" i="27"/>
  <c r="BD14" i="27"/>
  <c r="BE14" i="27"/>
  <c r="BD15" i="27"/>
  <c r="BE15" i="27"/>
  <c r="BD16" i="27"/>
  <c r="BE16" i="27"/>
  <c r="BD17" i="27"/>
  <c r="BE17" i="27"/>
  <c r="BD18" i="27"/>
  <c r="BE18" i="27"/>
  <c r="BD19" i="27"/>
  <c r="BE19" i="27"/>
  <c r="BD20" i="27"/>
  <c r="BE20" i="27"/>
  <c r="BD21" i="27"/>
  <c r="BE21" i="27"/>
  <c r="BD22" i="27"/>
  <c r="BE22" i="27"/>
  <c r="BD23" i="27"/>
  <c r="BE23" i="27"/>
  <c r="BD24" i="27"/>
  <c r="BE24" i="27"/>
  <c r="BD25" i="27"/>
  <c r="BE25" i="27"/>
  <c r="BD26" i="27"/>
  <c r="BE26" i="27"/>
  <c r="BD27" i="27"/>
  <c r="BE27" i="27"/>
  <c r="BD28" i="27"/>
  <c r="BE28" i="27"/>
  <c r="BD29" i="27"/>
  <c r="BE29" i="27"/>
  <c r="BD30" i="27"/>
  <c r="BE30" i="27"/>
  <c r="BE6" i="27"/>
  <c r="BD6" i="27"/>
  <c r="BI30" i="27"/>
  <c r="BI7" i="27"/>
  <c r="BI8" i="27"/>
  <c r="BI9" i="27"/>
  <c r="BI10" i="27"/>
  <c r="BI11" i="27"/>
  <c r="BI12" i="27"/>
  <c r="BI13" i="27"/>
  <c r="BI14" i="27"/>
  <c r="BI15" i="27"/>
  <c r="BI16" i="27"/>
  <c r="BI17" i="27"/>
  <c r="BI18" i="27"/>
  <c r="BI19" i="27"/>
  <c r="BI20" i="27"/>
  <c r="BI21" i="27"/>
  <c r="BI22" i="27"/>
  <c r="BI23" i="27"/>
  <c r="BI24" i="27"/>
  <c r="BI25" i="27"/>
  <c r="BI26" i="27"/>
  <c r="BI27" i="27"/>
  <c r="BI28" i="27"/>
  <c r="BI29" i="27"/>
  <c r="BI6" i="27"/>
  <c r="BH7" i="27"/>
  <c r="BH8" i="27"/>
  <c r="BH9" i="27"/>
  <c r="BH10" i="27"/>
  <c r="BH11" i="27"/>
  <c r="BH12" i="27"/>
  <c r="BH13" i="27"/>
  <c r="BH14" i="27"/>
  <c r="BH15" i="27"/>
  <c r="BH16" i="27"/>
  <c r="BH17" i="27"/>
  <c r="BH18" i="27"/>
  <c r="BH19" i="27"/>
  <c r="BH20" i="27"/>
  <c r="BH21" i="27"/>
  <c r="BH22" i="27"/>
  <c r="BH23" i="27"/>
  <c r="BH24" i="27"/>
  <c r="BH25" i="27"/>
  <c r="BH26" i="27"/>
  <c r="BH27" i="27"/>
  <c r="BH28" i="27"/>
  <c r="BH29" i="27"/>
  <c r="BH30" i="27"/>
  <c r="BH6" i="27"/>
  <c r="BF7" i="27" l="1"/>
  <c r="BG7" i="27"/>
  <c r="BF8" i="27"/>
  <c r="BG8" i="27"/>
  <c r="BF9" i="27"/>
  <c r="BG9" i="27"/>
  <c r="BF10" i="27"/>
  <c r="BG10" i="27"/>
  <c r="BF11" i="27"/>
  <c r="BG11" i="27"/>
  <c r="BF12" i="27"/>
  <c r="BG12" i="27"/>
  <c r="BF13" i="27"/>
  <c r="BG13" i="27"/>
  <c r="BF14" i="27"/>
  <c r="BG14" i="27"/>
  <c r="BF15" i="27"/>
  <c r="BG15" i="27"/>
  <c r="BF16" i="27"/>
  <c r="BG16" i="27"/>
  <c r="BF17" i="27"/>
  <c r="BG17" i="27"/>
  <c r="BF18" i="27"/>
  <c r="BG18" i="27"/>
  <c r="BF19" i="27"/>
  <c r="BG19" i="27"/>
  <c r="BF20" i="27"/>
  <c r="BG20" i="27"/>
  <c r="BF21" i="27"/>
  <c r="BG21" i="27"/>
  <c r="BF22" i="27"/>
  <c r="BG22" i="27"/>
  <c r="BF23" i="27"/>
  <c r="BG23" i="27"/>
  <c r="BF24" i="27"/>
  <c r="BG24" i="27"/>
  <c r="BF25" i="27"/>
  <c r="BG25" i="27"/>
  <c r="BF26" i="27"/>
  <c r="BG26" i="27"/>
  <c r="BF27" i="27"/>
  <c r="BG27" i="27"/>
  <c r="BF28" i="27"/>
  <c r="BG28" i="27"/>
  <c r="BF29" i="27"/>
  <c r="BG29" i="27"/>
  <c r="BF30" i="27"/>
  <c r="BG30" i="27"/>
  <c r="BG6" i="27"/>
  <c r="BF6" i="27"/>
  <c r="BC7" i="27"/>
  <c r="BC8" i="27"/>
  <c r="BC9" i="27"/>
  <c r="BC10" i="27"/>
  <c r="BC11" i="27"/>
  <c r="BC12" i="27"/>
  <c r="BC13" i="27"/>
  <c r="BC14" i="27"/>
  <c r="BC15" i="27"/>
  <c r="BC16" i="27"/>
  <c r="BC17" i="27"/>
  <c r="BC18" i="27"/>
  <c r="BC19" i="27"/>
  <c r="BC20" i="27"/>
  <c r="BC21" i="27"/>
  <c r="BC22" i="27"/>
  <c r="BC23" i="27"/>
  <c r="BC24" i="27"/>
  <c r="BC25" i="27"/>
  <c r="BC26" i="27"/>
  <c r="BC27" i="27"/>
  <c r="BC28" i="27"/>
  <c r="BC29" i="27"/>
  <c r="BC30" i="27"/>
  <c r="BC6" i="27"/>
  <c r="H31" i="31" l="1"/>
  <c r="H30" i="31"/>
  <c r="H29" i="31"/>
  <c r="H28" i="31"/>
  <c r="H27" i="31"/>
  <c r="H26" i="31"/>
  <c r="H25" i="31"/>
  <c r="H24" i="31"/>
  <c r="H23" i="31"/>
  <c r="H22" i="31"/>
  <c r="H21" i="31"/>
  <c r="H20" i="31"/>
  <c r="H19" i="31"/>
  <c r="H18" i="31"/>
  <c r="H17" i="31"/>
  <c r="H16" i="31"/>
  <c r="H15" i="31"/>
  <c r="H14" i="31"/>
  <c r="H13" i="31"/>
  <c r="H12" i="31"/>
  <c r="H11" i="31"/>
  <c r="H10" i="31"/>
  <c r="H32" i="31"/>
  <c r="H9" i="31"/>
  <c r="H8" i="31"/>
  <c r="H7" i="31"/>
  <c r="H6" i="31"/>
  <c r="K32" i="29"/>
  <c r="H32" i="29"/>
  <c r="K31" i="29"/>
  <c r="H31" i="29"/>
  <c r="K30" i="29"/>
  <c r="H30" i="29"/>
  <c r="K29" i="29"/>
  <c r="H29" i="29"/>
  <c r="K28" i="29"/>
  <c r="H28" i="29"/>
  <c r="K27" i="29"/>
  <c r="H27" i="29"/>
  <c r="K26" i="29"/>
  <c r="H26" i="29"/>
  <c r="K25" i="29"/>
  <c r="H25" i="29"/>
  <c r="K24" i="29"/>
  <c r="H24" i="29"/>
  <c r="K23" i="29"/>
  <c r="H23" i="29"/>
  <c r="K22" i="29"/>
  <c r="H22" i="29"/>
  <c r="K21" i="29"/>
  <c r="H21" i="29"/>
  <c r="K20" i="29"/>
  <c r="H20" i="29"/>
  <c r="K19" i="29"/>
  <c r="H19" i="29"/>
  <c r="K18" i="29"/>
  <c r="H18" i="29"/>
  <c r="K17" i="29"/>
  <c r="H17" i="29"/>
  <c r="K16" i="29"/>
  <c r="H16" i="29"/>
  <c r="K15" i="29"/>
  <c r="H15" i="29"/>
  <c r="K14" i="29"/>
  <c r="H14" i="29"/>
  <c r="K13" i="29"/>
  <c r="H13" i="29"/>
  <c r="K12" i="29"/>
  <c r="H12" i="29"/>
  <c r="K11" i="29"/>
  <c r="H11" i="29"/>
  <c r="K10" i="29"/>
  <c r="H10" i="29"/>
  <c r="K9" i="29"/>
  <c r="H9" i="29"/>
  <c r="K8" i="29"/>
  <c r="H8" i="29"/>
  <c r="K7" i="29"/>
  <c r="H7" i="29"/>
  <c r="K6" i="29"/>
  <c r="H6" i="29"/>
  <c r="K5" i="29"/>
  <c r="H5" i="29"/>
  <c r="BB6" i="27"/>
  <c r="BB30" i="27"/>
  <c r="BB29" i="27"/>
  <c r="BB28" i="27"/>
  <c r="BB27" i="27"/>
  <c r="BB26" i="27"/>
  <c r="BB25" i="27"/>
  <c r="BB24" i="27"/>
  <c r="BB23" i="27"/>
  <c r="BB22" i="27"/>
  <c r="BB21" i="27"/>
  <c r="BB20" i="27"/>
  <c r="BB19" i="27"/>
  <c r="BB18" i="27"/>
  <c r="BB17" i="27"/>
  <c r="BB16" i="27"/>
  <c r="BB15" i="27"/>
  <c r="BB14" i="27"/>
  <c r="BB13" i="27"/>
  <c r="BB12" i="27"/>
  <c r="BB11" i="27"/>
  <c r="BB10" i="27"/>
  <c r="BB9" i="27"/>
  <c r="BB8" i="27"/>
  <c r="BB7" i="27"/>
  <c r="G17" i="16"/>
  <c r="G16" i="16"/>
  <c r="G15" i="16"/>
  <c r="G14" i="16"/>
  <c r="G13" i="16"/>
  <c r="G12" i="16"/>
  <c r="G11" i="16"/>
  <c r="G10" i="16"/>
  <c r="G9" i="16"/>
  <c r="G8" i="16"/>
  <c r="G7" i="16"/>
  <c r="G6" i="16"/>
  <c r="G5" i="16"/>
  <c r="V30" i="33"/>
  <c r="H108" i="37" l="1"/>
  <c r="H107" i="37"/>
  <c r="H106" i="37"/>
  <c r="H105" i="37"/>
  <c r="H104" i="37"/>
  <c r="H103" i="37"/>
  <c r="H102" i="37"/>
  <c r="H101" i="37"/>
  <c r="H100" i="37"/>
  <c r="H99" i="37"/>
  <c r="H98" i="37"/>
  <c r="H97" i="37"/>
  <c r="H96" i="37"/>
  <c r="H95" i="37"/>
  <c r="H94" i="37"/>
  <c r="H93" i="37"/>
  <c r="H92" i="37"/>
  <c r="H91" i="37"/>
  <c r="H90" i="37"/>
  <c r="H89" i="37"/>
  <c r="H88" i="37"/>
  <c r="H87" i="37"/>
  <c r="H86" i="37"/>
  <c r="H85" i="37"/>
  <c r="H84" i="37"/>
  <c r="H83" i="37"/>
  <c r="H82" i="37"/>
  <c r="H81" i="37"/>
  <c r="H80" i="37"/>
  <c r="H79" i="37"/>
  <c r="H78" i="37"/>
  <c r="H77" i="37"/>
  <c r="H76" i="37"/>
  <c r="H75" i="37"/>
  <c r="H74"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H38" i="37"/>
  <c r="H37" i="37"/>
  <c r="H36" i="37"/>
  <c r="H35" i="37"/>
  <c r="H34" i="37"/>
  <c r="H33" i="37"/>
  <c r="H32" i="37"/>
  <c r="H31" i="37"/>
  <c r="H30" i="37"/>
  <c r="H29" i="37"/>
  <c r="H28" i="37"/>
  <c r="H27" i="37"/>
  <c r="H26" i="37"/>
  <c r="H25" i="37"/>
  <c r="H24" i="37"/>
  <c r="H23" i="37"/>
  <c r="H22" i="37"/>
  <c r="H21" i="37"/>
  <c r="H20" i="37"/>
  <c r="H19" i="37"/>
  <c r="H18" i="37"/>
  <c r="H17" i="37"/>
  <c r="H16" i="37"/>
  <c r="H15" i="37"/>
  <c r="H13" i="37"/>
  <c r="H12" i="37"/>
  <c r="Y108" i="37"/>
  <c r="Y107" i="37"/>
  <c r="Y106" i="37"/>
  <c r="Y105" i="37"/>
  <c r="Y104" i="37"/>
  <c r="Y103" i="37"/>
  <c r="Y102" i="37"/>
  <c r="Y101" i="37"/>
  <c r="Y100" i="37"/>
  <c r="Y99" i="37"/>
  <c r="Y98" i="37"/>
  <c r="Y97" i="37"/>
  <c r="Y96" i="37"/>
  <c r="Y95" i="37"/>
  <c r="Y94" i="37"/>
  <c r="Y93" i="37"/>
  <c r="Y92" i="37"/>
  <c r="Y91" i="37"/>
  <c r="Y90" i="37"/>
  <c r="Y89" i="37"/>
  <c r="Y88" i="37"/>
  <c r="Y87" i="37"/>
  <c r="Y86" i="37"/>
  <c r="Y85" i="37"/>
  <c r="Y84" i="37"/>
  <c r="Y83" i="37"/>
  <c r="Y82" i="37"/>
  <c r="Y81" i="37"/>
  <c r="Y80" i="37"/>
  <c r="Y79" i="37"/>
  <c r="Y78" i="37"/>
  <c r="Y77" i="37"/>
  <c r="Y76" i="37"/>
  <c r="Y75" i="37"/>
  <c r="Y74" i="37"/>
  <c r="Y73" i="37"/>
  <c r="Y72" i="37"/>
  <c r="Y71" i="37"/>
  <c r="Y70" i="37"/>
  <c r="Y69" i="37"/>
  <c r="Y68" i="37"/>
  <c r="Y67" i="37"/>
  <c r="Y66" i="37"/>
  <c r="Y65" i="37"/>
  <c r="Y64" i="37"/>
  <c r="Y63" i="37"/>
  <c r="Y62" i="37"/>
  <c r="Y61" i="37"/>
  <c r="Y60" i="37"/>
  <c r="Y59" i="37"/>
  <c r="Y58" i="37"/>
  <c r="Y57" i="37"/>
  <c r="Y56" i="37"/>
  <c r="Y55" i="37"/>
  <c r="Y54" i="37"/>
  <c r="Y53" i="37"/>
  <c r="Y52" i="37"/>
  <c r="Y51" i="37"/>
  <c r="Y50" i="37"/>
  <c r="Y49" i="37"/>
  <c r="Y48" i="37"/>
  <c r="Y47" i="37"/>
  <c r="Y46" i="37"/>
  <c r="Y45" i="37"/>
  <c r="Y44" i="37"/>
  <c r="Y43" i="37"/>
  <c r="Y42" i="37"/>
  <c r="Y41" i="37"/>
  <c r="Y40" i="37"/>
  <c r="Y39" i="37"/>
  <c r="Y38" i="37"/>
  <c r="Y37" i="37"/>
  <c r="Y36" i="37"/>
  <c r="Y35" i="37"/>
  <c r="Y34" i="37"/>
  <c r="Y33" i="37"/>
  <c r="Y32" i="37"/>
  <c r="Y31" i="37"/>
  <c r="Y30" i="37"/>
  <c r="Y29" i="37"/>
  <c r="Y28" i="37"/>
  <c r="Y27" i="37"/>
  <c r="Y26" i="37"/>
  <c r="Y25" i="37"/>
  <c r="Y24" i="37"/>
  <c r="Y23" i="37"/>
  <c r="Y22" i="37"/>
  <c r="Y21" i="37"/>
  <c r="Y20" i="37"/>
  <c r="Y19" i="37"/>
  <c r="Y18" i="37"/>
  <c r="Y17" i="37"/>
  <c r="Y16" i="37"/>
  <c r="Y15" i="37"/>
  <c r="Y14" i="37"/>
  <c r="Y13" i="37"/>
  <c r="Y12" i="37"/>
  <c r="Y11" i="37"/>
  <c r="Y10" i="37"/>
  <c r="P19" i="38" l="1"/>
  <c r="O19" i="38"/>
  <c r="P18" i="38"/>
  <c r="O18" i="38"/>
  <c r="P17" i="38"/>
  <c r="O17" i="38"/>
  <c r="P16" i="38"/>
  <c r="O16" i="38"/>
  <c r="P15" i="38"/>
  <c r="O15" i="38"/>
  <c r="P14" i="38"/>
  <c r="O14" i="38"/>
  <c r="P13" i="38"/>
  <c r="O13" i="38"/>
  <c r="P12" i="38"/>
  <c r="O12" i="38"/>
  <c r="P11" i="38"/>
  <c r="O11" i="38"/>
  <c r="P10" i="38"/>
  <c r="O10" i="38"/>
  <c r="P9" i="38"/>
  <c r="O9" i="38"/>
  <c r="P8" i="38"/>
  <c r="O8" i="38"/>
  <c r="P7" i="38"/>
  <c r="O7" i="38"/>
  <c r="U19" i="38"/>
  <c r="T19" i="38"/>
  <c r="U18" i="38"/>
  <c r="T18" i="38"/>
  <c r="U17" i="38"/>
  <c r="T17" i="38"/>
  <c r="U16" i="38"/>
  <c r="T16" i="38"/>
  <c r="U15" i="38"/>
  <c r="T15" i="38"/>
  <c r="U14" i="38"/>
  <c r="T14" i="38"/>
  <c r="U13" i="38"/>
  <c r="T13" i="38"/>
  <c r="U12" i="38"/>
  <c r="T12" i="38"/>
  <c r="U11" i="38"/>
  <c r="T11" i="38"/>
  <c r="U10" i="38"/>
  <c r="T10" i="38"/>
  <c r="U9" i="38"/>
  <c r="T9" i="38"/>
  <c r="U8" i="38"/>
  <c r="T8" i="38"/>
  <c r="U7" i="38"/>
  <c r="T7" i="38"/>
  <c r="AB19" i="38" l="1"/>
  <c r="Q19" i="38"/>
  <c r="N19" i="38"/>
  <c r="M19" i="38"/>
  <c r="L19" i="38"/>
  <c r="AB18" i="38"/>
  <c r="Q18" i="38"/>
  <c r="N18" i="38"/>
  <c r="M18" i="38"/>
  <c r="L18" i="38"/>
  <c r="AB17" i="38"/>
  <c r="Q17" i="38"/>
  <c r="N17" i="38"/>
  <c r="M17" i="38"/>
  <c r="L17" i="38"/>
  <c r="AB16" i="38"/>
  <c r="Q16" i="38"/>
  <c r="N16" i="38"/>
  <c r="M16" i="38"/>
  <c r="L16" i="38"/>
  <c r="AB15" i="38"/>
  <c r="Q15" i="38"/>
  <c r="N15" i="38"/>
  <c r="M15" i="38"/>
  <c r="L15" i="38"/>
  <c r="AB14" i="38"/>
  <c r="Q14" i="38"/>
  <c r="N14" i="38"/>
  <c r="M14" i="38"/>
  <c r="L14" i="38"/>
  <c r="AB13" i="38"/>
  <c r="Q13" i="38"/>
  <c r="N13" i="38"/>
  <c r="M13" i="38"/>
  <c r="L13" i="38"/>
  <c r="AB12" i="38"/>
  <c r="Q12" i="38"/>
  <c r="N12" i="38"/>
  <c r="M12" i="38"/>
  <c r="L12" i="38"/>
  <c r="AB11" i="38"/>
  <c r="Q11" i="38"/>
  <c r="N11" i="38"/>
  <c r="M11" i="38"/>
  <c r="L11" i="38"/>
  <c r="AB10" i="38"/>
  <c r="Q10" i="38"/>
  <c r="N10" i="38"/>
  <c r="M10" i="38"/>
  <c r="L10" i="38"/>
  <c r="AB9" i="38"/>
  <c r="Q9" i="38"/>
  <c r="N9" i="38"/>
  <c r="M9" i="38"/>
  <c r="L9" i="38"/>
  <c r="AB8" i="38"/>
  <c r="Q8" i="38"/>
  <c r="N8" i="38"/>
  <c r="M8" i="38"/>
  <c r="L8" i="38"/>
  <c r="AB7" i="38"/>
  <c r="Q7" i="38"/>
  <c r="N7" i="38"/>
  <c r="M7" i="38"/>
  <c r="L7" i="38"/>
  <c r="S108" i="37"/>
  <c r="Q108" i="37"/>
  <c r="O108" i="37"/>
  <c r="B108" i="37"/>
  <c r="S107" i="37"/>
  <c r="Q107" i="37"/>
  <c r="O107" i="37"/>
  <c r="B107" i="37"/>
  <c r="S106" i="37"/>
  <c r="Q106" i="37"/>
  <c r="O106" i="37"/>
  <c r="B106" i="37"/>
  <c r="S105" i="37"/>
  <c r="Q105" i="37"/>
  <c r="O105" i="37"/>
  <c r="B105" i="37"/>
  <c r="S104" i="37"/>
  <c r="Q104" i="37"/>
  <c r="O104" i="37"/>
  <c r="B104" i="37"/>
  <c r="S103" i="37"/>
  <c r="Q103" i="37"/>
  <c r="O103" i="37"/>
  <c r="B103" i="37"/>
  <c r="S102" i="37"/>
  <c r="Q102" i="37"/>
  <c r="O102" i="37"/>
  <c r="B102" i="37"/>
  <c r="S101" i="37"/>
  <c r="Q101" i="37"/>
  <c r="O101" i="37"/>
  <c r="B101" i="37"/>
  <c r="S100" i="37"/>
  <c r="Q100" i="37"/>
  <c r="O100" i="37"/>
  <c r="B100" i="37"/>
  <c r="S99" i="37"/>
  <c r="Q99" i="37"/>
  <c r="O99" i="37"/>
  <c r="B99" i="37"/>
  <c r="S98" i="37"/>
  <c r="Q98" i="37"/>
  <c r="O98" i="37"/>
  <c r="B98" i="37"/>
  <c r="S97" i="37"/>
  <c r="Q97" i="37"/>
  <c r="O97" i="37"/>
  <c r="B97" i="37"/>
  <c r="S96" i="37"/>
  <c r="Q96" i="37"/>
  <c r="O96" i="37"/>
  <c r="B96" i="37"/>
  <c r="S95" i="37"/>
  <c r="Q95" i="37"/>
  <c r="O95" i="37"/>
  <c r="B95" i="37"/>
  <c r="S94" i="37"/>
  <c r="Q94" i="37"/>
  <c r="O94" i="37"/>
  <c r="B94" i="37"/>
  <c r="S93" i="37"/>
  <c r="Q93" i="37"/>
  <c r="O93" i="37"/>
  <c r="B93" i="37"/>
  <c r="S92" i="37"/>
  <c r="Q92" i="37"/>
  <c r="O92" i="37"/>
  <c r="B92" i="37"/>
  <c r="S91" i="37"/>
  <c r="Q91" i="37"/>
  <c r="O91" i="37"/>
  <c r="B91" i="37"/>
  <c r="S90" i="37"/>
  <c r="Q90" i="37"/>
  <c r="O90" i="37"/>
  <c r="B90" i="37"/>
  <c r="S89" i="37"/>
  <c r="Q89" i="37"/>
  <c r="O89" i="37"/>
  <c r="B89" i="37"/>
  <c r="S88" i="37"/>
  <c r="Q88" i="37"/>
  <c r="O88" i="37"/>
  <c r="B88" i="37"/>
  <c r="S87" i="37"/>
  <c r="Q87" i="37"/>
  <c r="O87" i="37"/>
  <c r="B87" i="37"/>
  <c r="S86" i="37"/>
  <c r="Q86" i="37"/>
  <c r="O86" i="37"/>
  <c r="B86" i="37"/>
  <c r="S85" i="37"/>
  <c r="Q85" i="37"/>
  <c r="O85" i="37"/>
  <c r="B85" i="37"/>
  <c r="S84" i="37"/>
  <c r="Q84" i="37"/>
  <c r="O84" i="37"/>
  <c r="B84" i="37"/>
  <c r="S83" i="37"/>
  <c r="Q83" i="37"/>
  <c r="O83" i="37"/>
  <c r="B83" i="37"/>
  <c r="S82" i="37"/>
  <c r="Q82" i="37"/>
  <c r="O82" i="37"/>
  <c r="B82" i="37"/>
  <c r="S81" i="37"/>
  <c r="Q81" i="37"/>
  <c r="O81" i="37"/>
  <c r="B81" i="37"/>
  <c r="S80" i="37"/>
  <c r="Q80" i="37"/>
  <c r="O80" i="37"/>
  <c r="B80" i="37"/>
  <c r="S79" i="37"/>
  <c r="Q79" i="37"/>
  <c r="O79" i="37"/>
  <c r="B79" i="37"/>
  <c r="S78" i="37"/>
  <c r="Q78" i="37"/>
  <c r="O78" i="37"/>
  <c r="B78" i="37"/>
  <c r="S77" i="37"/>
  <c r="Q77" i="37"/>
  <c r="O77" i="37"/>
  <c r="B77" i="37"/>
  <c r="S76" i="37"/>
  <c r="Q76" i="37"/>
  <c r="O76" i="37"/>
  <c r="B76" i="37"/>
  <c r="S75" i="37"/>
  <c r="Q75" i="37"/>
  <c r="O75" i="37"/>
  <c r="B75" i="37"/>
  <c r="S74" i="37"/>
  <c r="Q74" i="37"/>
  <c r="O74" i="37"/>
  <c r="B74" i="37"/>
  <c r="S73" i="37"/>
  <c r="Q73" i="37"/>
  <c r="O73" i="37"/>
  <c r="B73" i="37"/>
  <c r="S72" i="37"/>
  <c r="Q72" i="37"/>
  <c r="O72" i="37"/>
  <c r="B72" i="37"/>
  <c r="S71" i="37"/>
  <c r="Q71" i="37"/>
  <c r="O71" i="37"/>
  <c r="B71" i="37"/>
  <c r="S70" i="37"/>
  <c r="Q70" i="37"/>
  <c r="O70" i="37"/>
  <c r="B70" i="37"/>
  <c r="S69" i="37"/>
  <c r="Q69" i="37"/>
  <c r="O69" i="37"/>
  <c r="B69" i="37"/>
  <c r="S68" i="37"/>
  <c r="Q68" i="37"/>
  <c r="O68" i="37"/>
  <c r="B68" i="37"/>
  <c r="S67" i="37"/>
  <c r="Q67" i="37"/>
  <c r="O67" i="37"/>
  <c r="B67" i="37"/>
  <c r="S66" i="37"/>
  <c r="Q66" i="37"/>
  <c r="O66" i="37"/>
  <c r="B66" i="37"/>
  <c r="S65" i="37"/>
  <c r="Q65" i="37"/>
  <c r="O65" i="37"/>
  <c r="B65" i="37"/>
  <c r="S64" i="37"/>
  <c r="Q64" i="37"/>
  <c r="O64" i="37"/>
  <c r="B64" i="37"/>
  <c r="S63" i="37"/>
  <c r="Q63" i="37"/>
  <c r="O63" i="37"/>
  <c r="B63" i="37"/>
  <c r="S62" i="37"/>
  <c r="Q62" i="37"/>
  <c r="O62" i="37"/>
  <c r="B62" i="37"/>
  <c r="S61" i="37"/>
  <c r="Q61" i="37"/>
  <c r="O61" i="37"/>
  <c r="B61" i="37"/>
  <c r="S60" i="37"/>
  <c r="Q60" i="37"/>
  <c r="O60" i="37"/>
  <c r="B60" i="37"/>
  <c r="S59" i="37"/>
  <c r="Q59" i="37"/>
  <c r="O59" i="37"/>
  <c r="B59" i="37"/>
  <c r="S58" i="37"/>
  <c r="Q58" i="37"/>
  <c r="O58" i="37"/>
  <c r="B58" i="37"/>
  <c r="S57" i="37"/>
  <c r="Q57" i="37"/>
  <c r="O57" i="37"/>
  <c r="B57" i="37"/>
  <c r="S56" i="37"/>
  <c r="Q56" i="37"/>
  <c r="O56" i="37"/>
  <c r="B56" i="37"/>
  <c r="S55" i="37"/>
  <c r="Q55" i="37"/>
  <c r="O55" i="37"/>
  <c r="B55" i="37"/>
  <c r="S54" i="37"/>
  <c r="Q54" i="37"/>
  <c r="O54" i="37"/>
  <c r="B54" i="37"/>
  <c r="S53" i="37"/>
  <c r="Q53" i="37"/>
  <c r="O53" i="37"/>
  <c r="B53" i="37"/>
  <c r="S52" i="37"/>
  <c r="Q52" i="37"/>
  <c r="O52" i="37"/>
  <c r="B52" i="37"/>
  <c r="S51" i="37"/>
  <c r="Q51" i="37"/>
  <c r="O51" i="37"/>
  <c r="B51" i="37"/>
  <c r="S50" i="37"/>
  <c r="Q50" i="37"/>
  <c r="O50" i="37"/>
  <c r="B50" i="37"/>
  <c r="S49" i="37"/>
  <c r="Q49" i="37"/>
  <c r="O49" i="37"/>
  <c r="B49" i="37"/>
  <c r="S48" i="37"/>
  <c r="Q48" i="37"/>
  <c r="O48" i="37"/>
  <c r="B48" i="37"/>
  <c r="S47" i="37"/>
  <c r="Q47" i="37"/>
  <c r="O47" i="37"/>
  <c r="B47" i="37"/>
  <c r="S46" i="37"/>
  <c r="Q46" i="37"/>
  <c r="O46" i="37"/>
  <c r="B46" i="37"/>
  <c r="S45" i="37"/>
  <c r="Q45" i="37"/>
  <c r="O45" i="37"/>
  <c r="B45" i="37"/>
  <c r="S44" i="37"/>
  <c r="Q44" i="37"/>
  <c r="O44" i="37"/>
  <c r="B44" i="37"/>
  <c r="S43" i="37"/>
  <c r="Q43" i="37"/>
  <c r="O43" i="37"/>
  <c r="B43" i="37"/>
  <c r="S42" i="37"/>
  <c r="Q42" i="37"/>
  <c r="O42" i="37"/>
  <c r="B42" i="37"/>
  <c r="S41" i="37"/>
  <c r="Q41" i="37"/>
  <c r="O41" i="37"/>
  <c r="B41" i="37"/>
  <c r="S40" i="37"/>
  <c r="Q40" i="37"/>
  <c r="O40" i="37"/>
  <c r="B40" i="37"/>
  <c r="S39" i="37"/>
  <c r="Q39" i="37"/>
  <c r="O39" i="37"/>
  <c r="B39" i="37"/>
  <c r="S38" i="37"/>
  <c r="Q38" i="37"/>
  <c r="O38" i="37"/>
  <c r="B38" i="37"/>
  <c r="S37" i="37"/>
  <c r="Q37" i="37"/>
  <c r="O37" i="37"/>
  <c r="B37" i="37"/>
  <c r="S36" i="37"/>
  <c r="Q36" i="37"/>
  <c r="O36" i="37"/>
  <c r="B36" i="37"/>
  <c r="S35" i="37"/>
  <c r="Q35" i="37"/>
  <c r="O35" i="37"/>
  <c r="B35" i="37"/>
  <c r="S34" i="37"/>
  <c r="Q34" i="37"/>
  <c r="O34" i="37"/>
  <c r="B34" i="37"/>
  <c r="S33" i="37"/>
  <c r="Q33" i="37"/>
  <c r="O33" i="37"/>
  <c r="B33" i="37"/>
  <c r="S32" i="37"/>
  <c r="Q32" i="37"/>
  <c r="O32" i="37"/>
  <c r="B32" i="37"/>
  <c r="S31" i="37"/>
  <c r="Q31" i="37"/>
  <c r="O31" i="37"/>
  <c r="B31" i="37"/>
  <c r="S30" i="37"/>
  <c r="Q30" i="37"/>
  <c r="O30" i="37"/>
  <c r="B30" i="37"/>
  <c r="S29" i="37"/>
  <c r="Q29" i="37"/>
  <c r="O29" i="37"/>
  <c r="B29" i="37"/>
  <c r="S28" i="37"/>
  <c r="Q28" i="37"/>
  <c r="O28" i="37"/>
  <c r="B28" i="37"/>
  <c r="S27" i="37"/>
  <c r="Q27" i="37"/>
  <c r="O27" i="37"/>
  <c r="B27" i="37"/>
  <c r="S26" i="37"/>
  <c r="Q26" i="37"/>
  <c r="O26" i="37"/>
  <c r="B26" i="37"/>
  <c r="S25" i="37"/>
  <c r="Q25" i="37"/>
  <c r="O25" i="37"/>
  <c r="B25" i="37"/>
  <c r="S24" i="37"/>
  <c r="Q24" i="37"/>
  <c r="O24" i="37"/>
  <c r="B24" i="37"/>
  <c r="S23" i="37"/>
  <c r="Q23" i="37"/>
  <c r="O23" i="37"/>
  <c r="B23" i="37"/>
  <c r="S22" i="37"/>
  <c r="Q22" i="37"/>
  <c r="O22" i="37"/>
  <c r="B22" i="37"/>
  <c r="S21" i="37"/>
  <c r="Q21" i="37"/>
  <c r="O21" i="37"/>
  <c r="B21" i="37"/>
  <c r="S20" i="37"/>
  <c r="Q20" i="37"/>
  <c r="O20" i="37"/>
  <c r="B20" i="37"/>
  <c r="S19" i="37"/>
  <c r="Q19" i="37"/>
  <c r="O19" i="37"/>
  <c r="B19" i="37"/>
  <c r="S18" i="37"/>
  <c r="Q18" i="37"/>
  <c r="O18" i="37"/>
  <c r="B18" i="37"/>
  <c r="S17" i="37"/>
  <c r="Q17" i="37"/>
  <c r="O17" i="37"/>
  <c r="B17" i="37"/>
  <c r="S16" i="37"/>
  <c r="Q16" i="37"/>
  <c r="O16" i="37"/>
  <c r="B16" i="37"/>
  <c r="S15" i="37"/>
  <c r="Q15" i="37"/>
  <c r="O15" i="37"/>
  <c r="B15" i="37"/>
  <c r="S14" i="37"/>
  <c r="Q14" i="37"/>
  <c r="O14" i="37"/>
  <c r="B14" i="37"/>
  <c r="S13" i="37"/>
  <c r="Q13" i="37"/>
  <c r="O13" i="37"/>
  <c r="B13" i="37"/>
  <c r="S12" i="37"/>
  <c r="Q12" i="37"/>
  <c r="O12" i="37"/>
  <c r="B12" i="37"/>
  <c r="S11" i="37"/>
  <c r="Q11" i="37"/>
  <c r="O11" i="37"/>
  <c r="S10" i="37"/>
  <c r="Q10" i="37"/>
  <c r="O10" i="37"/>
  <c r="S9" i="37"/>
  <c r="Q9" i="37"/>
  <c r="O9" i="37"/>
  <c r="BE6" i="37"/>
  <c r="BD6" i="37"/>
  <c r="BC6" i="37"/>
  <c r="BB6" i="37"/>
  <c r="BA6" i="37"/>
  <c r="AZ6" i="37"/>
  <c r="AY6" i="37"/>
  <c r="AX6" i="37"/>
  <c r="AW6" i="37"/>
  <c r="AV6" i="37"/>
  <c r="AU6" i="37"/>
  <c r="AT6" i="37"/>
  <c r="AS6" i="37"/>
  <c r="AR6" i="37"/>
  <c r="AQ6" i="37"/>
  <c r="AP6" i="37"/>
  <c r="AO6" i="37"/>
  <c r="AN6" i="37"/>
  <c r="AM6" i="37"/>
  <c r="AL6" i="37"/>
  <c r="AK6" i="37"/>
  <c r="AJ6" i="37"/>
  <c r="AI6" i="37"/>
  <c r="AH6" i="37"/>
  <c r="AG6" i="37"/>
  <c r="AF6" i="37"/>
  <c r="AE6" i="37"/>
  <c r="AD6" i="37"/>
  <c r="AC6" i="37"/>
  <c r="AB6" i="37"/>
  <c r="BE5" i="37"/>
  <c r="BD5" i="37"/>
  <c r="BC5" i="37"/>
  <c r="BB5" i="37"/>
  <c r="BA5" i="37"/>
  <c r="AZ5" i="37"/>
  <c r="AY5" i="37"/>
  <c r="AX5" i="37"/>
  <c r="AW5" i="37"/>
  <c r="AV5" i="37"/>
  <c r="AU5" i="37"/>
  <c r="AT5" i="37"/>
  <c r="AS5" i="37"/>
  <c r="AR5" i="37"/>
  <c r="AQ5" i="37"/>
  <c r="AP5" i="37"/>
  <c r="AO5" i="37"/>
  <c r="AN5" i="37"/>
  <c r="AM5" i="37"/>
  <c r="AL5" i="37"/>
  <c r="AK5" i="37"/>
  <c r="AJ5" i="37"/>
  <c r="AI5" i="37"/>
  <c r="AH5" i="37"/>
  <c r="AG5" i="37"/>
  <c r="AF5" i="37"/>
  <c r="AE5" i="37"/>
  <c r="AD5" i="37"/>
  <c r="AC5" i="37"/>
  <c r="AB5" i="37"/>
  <c r="H10" i="37" l="1"/>
  <c r="Y9" i="37"/>
  <c r="Y8" i="37" s="1"/>
  <c r="H11" i="37"/>
  <c r="H9" i="37"/>
  <c r="H14" i="37"/>
  <c r="K11" i="15"/>
  <c r="L10" i="15"/>
  <c r="E11" i="15"/>
  <c r="F10" i="15"/>
  <c r="E9" i="15"/>
  <c r="K9" i="15"/>
  <c r="K39" i="15"/>
  <c r="L38" i="15"/>
  <c r="E25" i="15"/>
  <c r="F24" i="15"/>
  <c r="K32" i="15"/>
  <c r="L31" i="15"/>
  <c r="E18" i="15"/>
  <c r="F17" i="15"/>
  <c r="K25" i="15"/>
  <c r="L24" i="15"/>
  <c r="E39" i="15"/>
  <c r="F38" i="15"/>
  <c r="K18" i="15"/>
  <c r="L17" i="15"/>
  <c r="E32" i="15"/>
  <c r="F31" i="15"/>
  <c r="K37" i="15"/>
  <c r="E16" i="15"/>
  <c r="K30" i="15"/>
  <c r="E37" i="15"/>
  <c r="K23" i="15"/>
  <c r="E30" i="15"/>
  <c r="K16" i="15"/>
  <c r="E23" i="15"/>
  <c r="H8" i="37" l="1"/>
  <c r="X2" i="37" s="1"/>
  <c r="K41" i="15"/>
  <c r="K34" i="15"/>
  <c r="K27" i="15"/>
  <c r="K20" i="15"/>
  <c r="K13" i="15"/>
  <c r="K42" i="15"/>
  <c r="K35" i="15"/>
  <c r="K28" i="15"/>
  <c r="K26" i="15"/>
  <c r="K33" i="15"/>
  <c r="K14" i="15"/>
  <c r="K21" i="15"/>
  <c r="F7" i="41" l="1"/>
  <c r="E7" i="41"/>
  <c r="K12" i="15"/>
  <c r="E42" i="15"/>
  <c r="E41" i="15"/>
  <c r="K40" i="15"/>
  <c r="E40" i="15"/>
  <c r="E35" i="15"/>
  <c r="E34" i="15"/>
  <c r="E33" i="15"/>
  <c r="E28" i="15"/>
  <c r="E27" i="15"/>
  <c r="E26" i="15"/>
  <c r="E21" i="15"/>
  <c r="E20" i="15"/>
  <c r="K19" i="15"/>
  <c r="E19" i="15"/>
  <c r="E14" i="15"/>
  <c r="E13" i="15"/>
  <c r="E12" i="15"/>
  <c r="E6" i="41" l="1"/>
  <c r="F6" i="41"/>
  <c r="F8" i="41"/>
  <c r="E8" i="41"/>
  <c r="E15" i="41"/>
  <c r="F15" i="41"/>
  <c r="F14" i="41"/>
  <c r="E14" i="41"/>
</calcChain>
</file>

<file path=xl/sharedStrings.xml><?xml version="1.0" encoding="utf-8"?>
<sst xmlns="http://schemas.openxmlformats.org/spreadsheetml/2006/main" count="10354" uniqueCount="2123">
  <si>
    <t>×</t>
  </si>
  <si>
    <t>言語</t>
    <rPh sb="0" eb="2">
      <t>ゲンゴ</t>
    </rPh>
    <phoneticPr fontId="16"/>
  </si>
  <si>
    <t>開始日</t>
    <rPh sb="0" eb="2">
      <t>カイシ</t>
    </rPh>
    <rPh sb="2" eb="3">
      <t>ヒ</t>
    </rPh>
    <phoneticPr fontId="16"/>
  </si>
  <si>
    <t>終了日</t>
    <rPh sb="0" eb="2">
      <t>シュウリョウ</t>
    </rPh>
    <rPh sb="2" eb="3">
      <t>ヒ</t>
    </rPh>
    <phoneticPr fontId="16"/>
  </si>
  <si>
    <t xml:space="preserve">配信方法 </t>
    <rPh sb="0" eb="2">
      <t>ハイシン</t>
    </rPh>
    <rPh sb="2" eb="4">
      <t>ホウホウ</t>
    </rPh>
    <phoneticPr fontId="16"/>
  </si>
  <si>
    <t>備考</t>
    <rPh sb="0" eb="2">
      <t>ビコウ</t>
    </rPh>
    <phoneticPr fontId="16"/>
  </si>
  <si>
    <t>キャンペーン</t>
    <phoneticPr fontId="16"/>
  </si>
  <si>
    <t>広告グループ</t>
    <rPh sb="0" eb="2">
      <t>コウコク</t>
    </rPh>
    <phoneticPr fontId="16"/>
  </si>
  <si>
    <t>設定対象／粒度</t>
    <rPh sb="0" eb="2">
      <t>セッテイ</t>
    </rPh>
    <rPh sb="2" eb="4">
      <t>タイショウ</t>
    </rPh>
    <rPh sb="5" eb="7">
      <t>リュウド</t>
    </rPh>
    <phoneticPr fontId="16"/>
  </si>
  <si>
    <t>タイトル2</t>
  </si>
  <si>
    <t>説明文</t>
    <rPh sb="0" eb="3">
      <t>セツメイブン</t>
    </rPh>
    <phoneticPr fontId="14"/>
  </si>
  <si>
    <t>デバイス</t>
  </si>
  <si>
    <t>オン</t>
  </si>
  <si>
    <t>オフ</t>
  </si>
  <si>
    <t>広告ステータス</t>
    <rPh sb="0" eb="2">
      <t>コウコク</t>
    </rPh>
    <phoneticPr fontId="16"/>
  </si>
  <si>
    <t>ー</t>
  </si>
  <si>
    <t>完</t>
    <rPh sb="0" eb="1">
      <t>カン</t>
    </rPh>
    <phoneticPr fontId="16"/>
  </si>
  <si>
    <t>部</t>
    <rPh sb="0" eb="1">
      <t>ブ</t>
    </rPh>
    <phoneticPr fontId="16"/>
  </si>
  <si>
    <t>媒体</t>
    <rPh sb="0" eb="2">
      <t>バイタイ</t>
    </rPh>
    <phoneticPr fontId="16"/>
  </si>
  <si>
    <t>Google</t>
  </si>
  <si>
    <t>最終リンク先URL</t>
    <rPh sb="0" eb="2">
      <t>サイシュウ</t>
    </rPh>
    <rPh sb="5" eb="6">
      <t>サキ</t>
    </rPh>
    <phoneticPr fontId="16"/>
  </si>
  <si>
    <t>無効</t>
    <rPh sb="0" eb="2">
      <t>ムコウ</t>
    </rPh>
    <phoneticPr fontId="20"/>
  </si>
  <si>
    <t>有効</t>
    <rPh sb="0" eb="2">
      <t>ユウコウ</t>
    </rPh>
    <phoneticPr fontId="20"/>
  </si>
  <si>
    <t>トラッキング
テンプレート</t>
    <phoneticPr fontId="14"/>
  </si>
  <si>
    <t>コールアウト／補足テキスト</t>
    <rPh sb="7" eb="9">
      <t>ホソク</t>
    </rPh>
    <phoneticPr fontId="16"/>
  </si>
  <si>
    <t>モバイル
最終リンク先URL</t>
    <rPh sb="5" eb="7">
      <t>サイシュウ</t>
    </rPh>
    <rPh sb="10" eb="11">
      <t>サキ</t>
    </rPh>
    <phoneticPr fontId="16"/>
  </si>
  <si>
    <t>▼キーワードの絞込が必要な場合は、直接キーワードに＋を付与してください。</t>
    <rPh sb="7" eb="9">
      <t>シボリコミ</t>
    </rPh>
    <rPh sb="10" eb="12">
      <t>ヒツヨウ</t>
    </rPh>
    <rPh sb="13" eb="15">
      <t>バアイ</t>
    </rPh>
    <rPh sb="17" eb="19">
      <t>チョクセツ</t>
    </rPh>
    <rPh sb="27" eb="29">
      <t>フヨ</t>
    </rPh>
    <phoneticPr fontId="14"/>
  </si>
  <si>
    <t>曜日・時間帯</t>
  </si>
  <si>
    <t>キャンペーン</t>
  </si>
  <si>
    <t>広告グループ</t>
    <rPh sb="0" eb="2">
      <t>コウコク</t>
    </rPh>
    <phoneticPr fontId="13"/>
  </si>
  <si>
    <t>キーワード</t>
    <phoneticPr fontId="14"/>
  </si>
  <si>
    <t>マッチタイプ</t>
    <phoneticPr fontId="20"/>
  </si>
  <si>
    <t>入札単価</t>
    <rPh sb="0" eb="2">
      <t>ニュウサツ</t>
    </rPh>
    <rPh sb="2" eb="4">
      <t>タンカ</t>
    </rPh>
    <phoneticPr fontId="20"/>
  </si>
  <si>
    <t>キーワードステータス</t>
    <phoneticPr fontId="14"/>
  </si>
  <si>
    <t>説明文1
※Googleのみ</t>
    <rPh sb="0" eb="3">
      <t>セツメイブン</t>
    </rPh>
    <phoneticPr fontId="16"/>
  </si>
  <si>
    <t>説明文2
※Googleのみ</t>
    <rPh sb="0" eb="3">
      <t>セツメイブン</t>
    </rPh>
    <phoneticPr fontId="16"/>
  </si>
  <si>
    <t>株式会社電通／株式会社電通デジタル</t>
    <rPh sb="0" eb="4">
      <t>カブシキガイシャ</t>
    </rPh>
    <rPh sb="4" eb="6">
      <t>デンツウ</t>
    </rPh>
    <rPh sb="7" eb="11">
      <t>カブシキガイシャ</t>
    </rPh>
    <rPh sb="11" eb="13">
      <t>デンツウ</t>
    </rPh>
    <phoneticPr fontId="14"/>
  </si>
  <si>
    <t>広告</t>
    <rPh sb="0" eb="2">
      <t>コウコク</t>
    </rPh>
    <phoneticPr fontId="14"/>
  </si>
  <si>
    <t>コールアウト</t>
    <phoneticPr fontId="14"/>
  </si>
  <si>
    <t>テキスト補足オプション</t>
    <rPh sb="4" eb="6">
      <t>ホソク</t>
    </rPh>
    <phoneticPr fontId="14"/>
  </si>
  <si>
    <t>構造化スニペット</t>
    <rPh sb="0" eb="3">
      <t>コウゾウカ</t>
    </rPh>
    <phoneticPr fontId="14"/>
  </si>
  <si>
    <t>株式会社●●●●／株式会社◆◆◆◆　御中</t>
    <rPh sb="0" eb="4">
      <t>カブシキガイシャ</t>
    </rPh>
    <rPh sb="18" eb="20">
      <t>オンチュウ</t>
    </rPh>
    <phoneticPr fontId="14"/>
  </si>
  <si>
    <t>掲載内容ご確認のお願い</t>
    <rPh sb="0" eb="2">
      <t>ケイサイ</t>
    </rPh>
    <rPh sb="2" eb="4">
      <t>ナイヨウ</t>
    </rPh>
    <rPh sb="5" eb="7">
      <t>カクニン</t>
    </rPh>
    <rPh sb="9" eb="10">
      <t>ネガ</t>
    </rPh>
    <phoneticPr fontId="14"/>
  </si>
  <si>
    <t>Google</t>
    <phoneticPr fontId="20"/>
  </si>
  <si>
    <t>タイトル</t>
  </si>
  <si>
    <t>タイトル</t>
    <phoneticPr fontId="14"/>
  </si>
  <si>
    <t>構造化スニペットテキスト
（全角12文字・半角25文字）</t>
    <phoneticPr fontId="16"/>
  </si>
  <si>
    <t>構造化スニペットラベル</t>
    <phoneticPr fontId="16"/>
  </si>
  <si>
    <t>パス</t>
  </si>
  <si>
    <t>パス</t>
    <phoneticPr fontId="14"/>
  </si>
  <si>
    <t>コールアウト</t>
  </si>
  <si>
    <t>サイトリンク</t>
  </si>
  <si>
    <t>電話番号表示オプション</t>
    <rPh sb="0" eb="2">
      <t>デンワ</t>
    </rPh>
    <rPh sb="2" eb="4">
      <t>バンゴウ</t>
    </rPh>
    <rPh sb="4" eb="6">
      <t>ヒョウジ</t>
    </rPh>
    <phoneticPr fontId="13"/>
  </si>
  <si>
    <t>電話番号</t>
    <rPh sb="0" eb="2">
      <t>デンワ</t>
    </rPh>
    <rPh sb="2" eb="4">
      <t>バンゴウ</t>
    </rPh>
    <phoneticPr fontId="13"/>
  </si>
  <si>
    <t>住所</t>
    <rPh sb="0" eb="2">
      <t>ジュウショ</t>
    </rPh>
    <phoneticPr fontId="14"/>
  </si>
  <si>
    <t>電話番号</t>
    <rPh sb="0" eb="2">
      <t>デンワ</t>
    </rPh>
    <rPh sb="2" eb="4">
      <t>バンゴウ</t>
    </rPh>
    <phoneticPr fontId="14"/>
  </si>
  <si>
    <t>構造化スニペットラベル</t>
  </si>
  <si>
    <t>関連付け情報</t>
    <rPh sb="0" eb="3">
      <t>カンレンヅ</t>
    </rPh>
    <rPh sb="4" eb="6">
      <t>ジョウホウ</t>
    </rPh>
    <phoneticPr fontId="16"/>
  </si>
  <si>
    <t>■広告表示オプション（関連付け）</t>
    <rPh sb="1" eb="3">
      <t>コウコク</t>
    </rPh>
    <rPh sb="3" eb="5">
      <t>ヒョウジ</t>
    </rPh>
    <rPh sb="11" eb="13">
      <t>カンレン</t>
    </rPh>
    <rPh sb="13" eb="14">
      <t>ヅ</t>
    </rPh>
    <phoneticPr fontId="14"/>
  </si>
  <si>
    <t>■広告表示オプション（共有）</t>
    <rPh sb="1" eb="3">
      <t>コウコク</t>
    </rPh>
    <rPh sb="3" eb="5">
      <t>ヒョウジ</t>
    </rPh>
    <phoneticPr fontId="14"/>
  </si>
  <si>
    <t>■キーワード（指定）</t>
    <phoneticPr fontId="14"/>
  </si>
  <si>
    <t>■メニュー設定情報</t>
    <rPh sb="5" eb="7">
      <t>セッテイ</t>
    </rPh>
    <rPh sb="7" eb="9">
      <t>ジョウホウ</t>
    </rPh>
    <phoneticPr fontId="14"/>
  </si>
  <si>
    <t>キーワード2</t>
  </si>
  <si>
    <t>キーワード3</t>
  </si>
  <si>
    <t>キーワード4</t>
  </si>
  <si>
    <t>キーワード5</t>
  </si>
  <si>
    <t>キーワード6</t>
  </si>
  <si>
    <t>キーワード7</t>
  </si>
  <si>
    <t>キーワード8</t>
  </si>
  <si>
    <t>キーワード9</t>
  </si>
  <si>
    <t>キーワード10</t>
  </si>
  <si>
    <t>キーワード11</t>
  </si>
  <si>
    <t>キーワード12</t>
  </si>
  <si>
    <t>キーワード13</t>
  </si>
  <si>
    <t>キーワード14</t>
  </si>
  <si>
    <t>キーワード15</t>
  </si>
  <si>
    <t>キーワード16</t>
  </si>
  <si>
    <t>キーワード17</t>
  </si>
  <si>
    <t>キーワード18</t>
  </si>
  <si>
    <t>キーワード19</t>
  </si>
  <si>
    <t>キーワード20</t>
  </si>
  <si>
    <t>キーワードNo.／カテゴリ名</t>
    <rPh sb="13" eb="14">
      <t>メイ</t>
    </rPh>
    <phoneticPr fontId="16"/>
  </si>
  <si>
    <t>日付</t>
  </si>
  <si>
    <t>変更種別</t>
  </si>
  <si>
    <t>変更内容（詳細）</t>
  </si>
  <si>
    <t>作成者</t>
  </si>
  <si>
    <t>更新</t>
    <rPh sb="0" eb="2">
      <t>コウシン</t>
    </rPh>
    <phoneticPr fontId="20"/>
  </si>
  <si>
    <t>削除</t>
    <rPh sb="0" eb="2">
      <t>サクジョ</t>
    </rPh>
    <phoneticPr fontId="20"/>
  </si>
  <si>
    <t>対象シート名</t>
    <rPh sb="0" eb="2">
      <t>タイショウ</t>
    </rPh>
    <rPh sb="5" eb="6">
      <t>メイ</t>
    </rPh>
    <phoneticPr fontId="20"/>
  </si>
  <si>
    <t>承認者</t>
    <phoneticPr fontId="20"/>
  </si>
  <si>
    <t>石井順也</t>
    <rPh sb="0" eb="4">
      <t>イシイジュンヤ</t>
    </rPh>
    <phoneticPr fontId="20"/>
  </si>
  <si>
    <t>全シート</t>
  </si>
  <si>
    <t>全シート</t>
    <phoneticPr fontId="20"/>
  </si>
  <si>
    <t>■変更履歴</t>
    <phoneticPr fontId="20"/>
  </si>
  <si>
    <t>新規で全シートを作成しました。</t>
    <rPh sb="0" eb="2">
      <t>シンキ</t>
    </rPh>
    <rPh sb="3" eb="4">
      <t>ゼン</t>
    </rPh>
    <rPh sb="8" eb="10">
      <t>サクセイ</t>
    </rPh>
    <phoneticPr fontId="20"/>
  </si>
  <si>
    <t>作成</t>
    <rPh sb="0" eb="2">
      <t>サクセイ</t>
    </rPh>
    <phoneticPr fontId="20"/>
  </si>
  <si>
    <t>キャンペーンタイプ</t>
  </si>
  <si>
    <t>単体キーワード</t>
    <rPh sb="0" eb="2">
      <t>タンタイ</t>
    </rPh>
    <phoneticPr fontId="16"/>
  </si>
  <si>
    <t>キーワード21</t>
  </si>
  <si>
    <t>キーワード22</t>
  </si>
  <si>
    <t>キーワード23</t>
  </si>
  <si>
    <t>キーワード24</t>
  </si>
  <si>
    <t>キーワード25</t>
  </si>
  <si>
    <t>キーワード26</t>
  </si>
  <si>
    <t>キーワード27</t>
  </si>
  <si>
    <t>キーワード28</t>
  </si>
  <si>
    <t>キーワード29</t>
  </si>
  <si>
    <t>キーワード30</t>
  </si>
  <si>
    <t>キーワード31</t>
  </si>
  <si>
    <t>キーワード32</t>
  </si>
  <si>
    <t>キーワード33</t>
  </si>
  <si>
    <t>キーワード34</t>
  </si>
  <si>
    <t>キーワード35</t>
  </si>
  <si>
    <t>キーワード36</t>
  </si>
  <si>
    <t>キーワード37</t>
  </si>
  <si>
    <t>キーワード38</t>
  </si>
  <si>
    <t>キーワード39</t>
  </si>
  <si>
    <t>キーワード40</t>
  </si>
  <si>
    <t>キーワード41</t>
  </si>
  <si>
    <t>キーワード42</t>
  </si>
  <si>
    <t>キーワード43</t>
  </si>
  <si>
    <t>キーワード44</t>
  </si>
  <si>
    <t>キーワード45</t>
  </si>
  <si>
    <t>キーワード46</t>
  </si>
  <si>
    <t>キーワード47</t>
  </si>
  <si>
    <t>キーワード48</t>
  </si>
  <si>
    <t>キーワード49</t>
  </si>
  <si>
    <t>キーワード50</t>
  </si>
  <si>
    <t>キーワード51</t>
  </si>
  <si>
    <t>キーワード52</t>
  </si>
  <si>
    <t>キーワード53</t>
  </si>
  <si>
    <t>キーワード54</t>
  </si>
  <si>
    <t>キーワード55</t>
  </si>
  <si>
    <t>キーワード56</t>
  </si>
  <si>
    <t>キーワード57</t>
  </si>
  <si>
    <t>キーワード58</t>
  </si>
  <si>
    <t>キーワード59</t>
  </si>
  <si>
    <t>キーワード60</t>
  </si>
  <si>
    <t>キーワード61</t>
  </si>
  <si>
    <t>キーワード62</t>
  </si>
  <si>
    <t>キーワード63</t>
  </si>
  <si>
    <t>キーワード64</t>
  </si>
  <si>
    <t>キーワード65</t>
  </si>
  <si>
    <t>キーワード66</t>
  </si>
  <si>
    <t>キーワード67</t>
  </si>
  <si>
    <t>キーワード68</t>
  </si>
  <si>
    <t>キーワード69</t>
  </si>
  <si>
    <t>キーワード70</t>
  </si>
  <si>
    <t>キーワード71</t>
  </si>
  <si>
    <t>キーワード72</t>
  </si>
  <si>
    <t>キーワード73</t>
  </si>
  <si>
    <t>キーワード74</t>
  </si>
  <si>
    <t>キーワード75</t>
  </si>
  <si>
    <t>キーワード76</t>
  </si>
  <si>
    <t>キーワード77</t>
  </si>
  <si>
    <t>キーワード78</t>
  </si>
  <si>
    <t>キーワード79</t>
  </si>
  <si>
    <t>キーワード80</t>
  </si>
  <si>
    <t>キーワード81</t>
  </si>
  <si>
    <t>キーワード82</t>
  </si>
  <si>
    <t>キーワード83</t>
  </si>
  <si>
    <t>キーワード84</t>
  </si>
  <si>
    <t>キーワード85</t>
  </si>
  <si>
    <t>キーワード86</t>
  </si>
  <si>
    <t>キーワード87</t>
  </si>
  <si>
    <t>キーワード88</t>
  </si>
  <si>
    <t>キーワード89</t>
  </si>
  <si>
    <t>キーワード90</t>
  </si>
  <si>
    <t>キーワード91</t>
  </si>
  <si>
    <t>キーワード92</t>
  </si>
  <si>
    <t>キーワード93</t>
  </si>
  <si>
    <t>キーワード94</t>
  </si>
  <si>
    <t>キーワード95</t>
  </si>
  <si>
    <t>キーワード96</t>
  </si>
  <si>
    <t>キーワード97</t>
  </si>
  <si>
    <t>キーワード98</t>
  </si>
  <si>
    <t>キーワード99</t>
  </si>
  <si>
    <t>キーワード100</t>
  </si>
  <si>
    <t>キーワードNo.／カテゴリ名での組み合わせ</t>
    <rPh sb="16" eb="17">
      <t>ク</t>
    </rPh>
    <rPh sb="18" eb="19">
      <t>ア</t>
    </rPh>
    <phoneticPr fontId="14"/>
  </si>
  <si>
    <t>Google：パス
Yahoo：ディレクトリ</t>
    <phoneticPr fontId="14"/>
  </si>
  <si>
    <t>（注）掲載イメージのため、実際の掲載状況とは異なる可能性がございます。また、設定した広告表示オプションが全て表示されるとは限りません。</t>
    <phoneticPr fontId="20"/>
  </si>
  <si>
    <t>除外キーワード</t>
    <phoneticPr fontId="14"/>
  </si>
  <si>
    <t>サイトリンクテキスト／
クイックリンクテキスト
（Google：全角12文字以内・半角25文字以内）
（Yahoo：全角12文字以内・半角25文字以内）</t>
    <rPh sb="38" eb="40">
      <t>イナイ</t>
    </rPh>
    <phoneticPr fontId="16"/>
  </si>
  <si>
    <t>テキスト
（Google：全角12文字以内・半角25文字以内）
（Yahoo：全角12文字以内・半角25文字以内）</t>
    <phoneticPr fontId="16"/>
  </si>
  <si>
    <t>入力規則機能を更新しました。</t>
    <rPh sb="0" eb="2">
      <t>ニュウリョク</t>
    </rPh>
    <rPh sb="2" eb="4">
      <t>キソク</t>
    </rPh>
    <rPh sb="4" eb="6">
      <t>キノウ</t>
    </rPh>
    <phoneticPr fontId="20"/>
  </si>
  <si>
    <t>補足説明、表記の調整、列（項目）の更新</t>
    <rPh sb="0" eb="2">
      <t>ホソク</t>
    </rPh>
    <rPh sb="2" eb="4">
      <t>セツメイ</t>
    </rPh>
    <rPh sb="5" eb="7">
      <t>ヒョウキ</t>
    </rPh>
    <rPh sb="8" eb="10">
      <t>チョウセイ</t>
    </rPh>
    <rPh sb="11" eb="12">
      <t>レツ</t>
    </rPh>
    <phoneticPr fontId="15"/>
  </si>
  <si>
    <t>入力規則</t>
    <rPh sb="0" eb="2">
      <t>ニュウリョク</t>
    </rPh>
    <rPh sb="2" eb="4">
      <t>キソク</t>
    </rPh>
    <phoneticPr fontId="20"/>
  </si>
  <si>
    <t>個別クリック単価</t>
  </si>
  <si>
    <t>あり</t>
  </si>
  <si>
    <t>なし</t>
  </si>
  <si>
    <t>目標とするコンバージョン単価</t>
  </si>
  <si>
    <t>目標広告費用対効果</t>
  </si>
  <si>
    <t>標準: 広告配信を最適化し、予算を均等に消化します。（推奨）</t>
  </si>
  <si>
    <t>集中化: 広告配信の最適化は行われず、予算をより早く消化します。1 日のうち早い時間帯で予算を消化し終えてしまう可能性があります。</t>
  </si>
  <si>
    <t>検索ネットワークのみ</t>
  </si>
  <si>
    <t>検索ネットワーク（ディスプレイ ネットワーク対応）</t>
  </si>
  <si>
    <t>要</t>
  </si>
  <si>
    <t>不要</t>
  </si>
  <si>
    <t>手動</t>
    <rPh sb="0" eb="2">
      <t>シュドウ</t>
    </rPh>
    <phoneticPr fontId="20"/>
  </si>
  <si>
    <t>自動</t>
    <rPh sb="0" eb="2">
      <t>ジドウ</t>
    </rPh>
    <phoneticPr fontId="20"/>
  </si>
  <si>
    <t>更新</t>
    <rPh sb="0" eb="2">
      <t>コウシン</t>
    </rPh>
    <phoneticPr fontId="19"/>
  </si>
  <si>
    <t>メニュー設定情報</t>
  </si>
  <si>
    <t>入力規則機能を更新しました。</t>
    <rPh sb="0" eb="2">
      <t>ニュウリョク</t>
    </rPh>
    <rPh sb="2" eb="4">
      <t>キソク</t>
    </rPh>
    <rPh sb="4" eb="6">
      <t>キノウ</t>
    </rPh>
    <phoneticPr fontId="19"/>
  </si>
  <si>
    <t>石井順也</t>
    <rPh sb="0" eb="4">
      <t>イシイジュンヤ</t>
    </rPh>
    <phoneticPr fontId="19"/>
  </si>
  <si>
    <t>ブック</t>
  </si>
  <si>
    <t>Ver.0.1</t>
    <phoneticPr fontId="20"/>
  </si>
  <si>
    <t>Ver.0.2</t>
  </si>
  <si>
    <t>Ver.0.3</t>
  </si>
  <si>
    <t>Ver.0.4</t>
  </si>
  <si>
    <t>Ver.管理</t>
    <rPh sb="4" eb="6">
      <t>カンリ</t>
    </rPh>
    <phoneticPr fontId="20"/>
  </si>
  <si>
    <t>Ver.1.0.0</t>
  </si>
  <si>
    <t>リリース用のバージョン表記にしました。
表記ルール（Ver.【使用方法が変わるVer.UP】.【使用感に関わるVer.UP】.【表記修正など軽微なVer.UP】）</t>
    <rPh sb="66" eb="68">
      <t>シュウセイ</t>
    </rPh>
    <phoneticPr fontId="20"/>
  </si>
  <si>
    <t>学位プログラム</t>
    <rPh sb="0" eb="2">
      <t>ガクイ</t>
    </rPh>
    <phoneticPr fontId="20"/>
  </si>
  <si>
    <t>周辺地域</t>
    <rPh sb="0" eb="4">
      <t>シュウヘンチイキ</t>
    </rPh>
    <phoneticPr fontId="20"/>
  </si>
  <si>
    <t>設備</t>
    <rPh sb="0" eb="2">
      <t>セツビ</t>
    </rPh>
    <phoneticPr fontId="20"/>
  </si>
  <si>
    <t>到着地</t>
    <rPh sb="0" eb="3">
      <t>トウチャクチ</t>
    </rPh>
    <phoneticPr fontId="20"/>
  </si>
  <si>
    <t>番組</t>
    <rPh sb="0" eb="2">
      <t>バングミ</t>
    </rPh>
    <phoneticPr fontId="20"/>
  </si>
  <si>
    <t>保険の保障</t>
    <rPh sb="0" eb="2">
      <t>ホケン</t>
    </rPh>
    <rPh sb="3" eb="5">
      <t>ホショウ</t>
    </rPh>
    <phoneticPr fontId="20"/>
  </si>
  <si>
    <t>完全一致</t>
    <rPh sb="0" eb="4">
      <t>カンゼンイッチ</t>
    </rPh>
    <phoneticPr fontId="20"/>
  </si>
  <si>
    <t>フレーズ一致</t>
    <rPh sb="4" eb="6">
      <t>イッチ</t>
    </rPh>
    <phoneticPr fontId="20"/>
  </si>
  <si>
    <t>部分一致</t>
    <rPh sb="0" eb="4">
      <t>ブブンイッチ</t>
    </rPh>
    <phoneticPr fontId="20"/>
  </si>
  <si>
    <t>ステータス</t>
    <phoneticPr fontId="16"/>
  </si>
  <si>
    <t>Ver.1.0.1</t>
  </si>
  <si>
    <t>説明文1
※Googleのみ
（Google：全角17文字以内・半角35文字以内）</t>
    <rPh sb="0" eb="3">
      <t>セツメイブン</t>
    </rPh>
    <rPh sb="23" eb="25">
      <t>ゼンカク</t>
    </rPh>
    <rPh sb="27" eb="29">
      <t>モジ</t>
    </rPh>
    <rPh sb="29" eb="31">
      <t>イナイ</t>
    </rPh>
    <phoneticPr fontId="16"/>
  </si>
  <si>
    <t>説明文2
※Googleのみ
（Google：全角17文字以内・半角35文字以内）</t>
    <rPh sb="0" eb="3">
      <t>セツメイブン</t>
    </rPh>
    <phoneticPr fontId="16"/>
  </si>
  <si>
    <t>Ver.1.1.1</t>
    <phoneticPr fontId="20"/>
  </si>
  <si>
    <t>入力規則や規定の記載など、使用感に関わる部分を更新しました。</t>
    <rPh sb="0" eb="2">
      <t>ニュウリョク</t>
    </rPh>
    <rPh sb="2" eb="4">
      <t>キソク</t>
    </rPh>
    <rPh sb="5" eb="7">
      <t>キテイ</t>
    </rPh>
    <rPh sb="8" eb="10">
      <t>キサイ</t>
    </rPh>
    <rPh sb="13" eb="16">
      <t>シヨウカン</t>
    </rPh>
    <rPh sb="17" eb="18">
      <t>カカ</t>
    </rPh>
    <rPh sb="20" eb="22">
      <t>ブブン</t>
    </rPh>
    <rPh sb="23" eb="25">
      <t>コウシン</t>
    </rPh>
    <phoneticPr fontId="20"/>
  </si>
  <si>
    <t>■除外キーワード</t>
    <rPh sb="1" eb="3">
      <t>ジョガイ</t>
    </rPh>
    <phoneticPr fontId="14"/>
  </si>
  <si>
    <t>エクセル2010・2013 仕様</t>
    <rPh sb="14" eb="16">
      <t>シヨウ</t>
    </rPh>
    <phoneticPr fontId="20"/>
  </si>
  <si>
    <t>設定項目</t>
    <phoneticPr fontId="14"/>
  </si>
  <si>
    <t>Yahooリスティング</t>
    <phoneticPr fontId="14"/>
  </si>
  <si>
    <t>Googleリスティング</t>
    <phoneticPr fontId="14"/>
  </si>
  <si>
    <t>Ver.1.1.3</t>
    <phoneticPr fontId="20"/>
  </si>
  <si>
    <t>グランドルール</t>
    <phoneticPr fontId="20"/>
  </si>
  <si>
    <t>グランドルールのシートを追加しました。</t>
    <rPh sb="12" eb="14">
      <t>ツイカ</t>
    </rPh>
    <phoneticPr fontId="20"/>
  </si>
  <si>
    <t>Ver.1.1.4</t>
  </si>
  <si>
    <t>グランドルール</t>
  </si>
  <si>
    <t>グランドルールのシートを更新しました。</t>
    <rPh sb="12" eb="14">
      <t>コウシン</t>
    </rPh>
    <phoneticPr fontId="20"/>
  </si>
  <si>
    <t>クリック数最大化</t>
    <rPh sb="4" eb="5">
      <t>スウ</t>
    </rPh>
    <rPh sb="5" eb="7">
      <t>サイダイ</t>
    </rPh>
    <rPh sb="7" eb="8">
      <t>カ</t>
    </rPh>
    <phoneticPr fontId="18"/>
  </si>
  <si>
    <t>クリック数の最大化</t>
  </si>
  <si>
    <t>コンバージョン数の最大化</t>
  </si>
  <si>
    <t>広告費用対効果の目標値</t>
  </si>
  <si>
    <t>山下航</t>
    <rPh sb="0" eb="2">
      <t>ヤマシタ</t>
    </rPh>
    <rPh sb="2" eb="3">
      <t>ワタル</t>
    </rPh>
    <phoneticPr fontId="20"/>
  </si>
  <si>
    <t>Ver.1.2.4</t>
    <phoneticPr fontId="20"/>
  </si>
  <si>
    <t>入力規則、項目を更新しました。</t>
    <rPh sb="0" eb="2">
      <t>ニュウリョク</t>
    </rPh>
    <rPh sb="2" eb="4">
      <t>キソク</t>
    </rPh>
    <rPh sb="5" eb="7">
      <t>コウモク</t>
    </rPh>
    <phoneticPr fontId="19"/>
  </si>
  <si>
    <t>特定のセルをロックしました</t>
    <rPh sb="0" eb="2">
      <t>トクテイ</t>
    </rPh>
    <phoneticPr fontId="19"/>
  </si>
  <si>
    <t>Ver.1.2.5</t>
    <phoneticPr fontId="20"/>
  </si>
  <si>
    <t>Ver.1.3.5</t>
    <phoneticPr fontId="20"/>
  </si>
  <si>
    <t>広告表示オプション(共有)</t>
    <rPh sb="0" eb="2">
      <t>コウコク</t>
    </rPh>
    <rPh sb="2" eb="4">
      <t>ヒョウジ</t>
    </rPh>
    <rPh sb="10" eb="12">
      <t>キョウユウ</t>
    </rPh>
    <phoneticPr fontId="20"/>
  </si>
  <si>
    <t>入札単価
※ネット金額で記載</t>
    <rPh sb="0" eb="2">
      <t>ニュウサツ</t>
    </rPh>
    <rPh sb="2" eb="4">
      <t>タンカ</t>
    </rPh>
    <rPh sb="9" eb="11">
      <t>キンガク</t>
    </rPh>
    <rPh sb="12" eb="14">
      <t>キサイ</t>
    </rPh>
    <phoneticPr fontId="16"/>
  </si>
  <si>
    <t>文字数</t>
    <rPh sb="0" eb="3">
      <t>モジスウ</t>
    </rPh>
    <phoneticPr fontId="14"/>
  </si>
  <si>
    <t>Ver.1.4.5</t>
    <phoneticPr fontId="20"/>
  </si>
  <si>
    <t>Ver.1.4.6</t>
    <phoneticPr fontId="20"/>
  </si>
  <si>
    <t>項目を削除しました。</t>
    <rPh sb="0" eb="2">
      <t>コウモク</t>
    </rPh>
    <rPh sb="3" eb="5">
      <t>サクジョ</t>
    </rPh>
    <phoneticPr fontId="20"/>
  </si>
  <si>
    <t>項目を追加しました。</t>
    <rPh sb="0" eb="2">
      <t>コウモク</t>
    </rPh>
    <rPh sb="3" eb="5">
      <t>ツイカ</t>
    </rPh>
    <phoneticPr fontId="20"/>
  </si>
  <si>
    <t>キャンペーン・広告グループ</t>
    <phoneticPr fontId="20"/>
  </si>
  <si>
    <t>シートを削除しました。</t>
    <rPh sb="4" eb="6">
      <t>サクジョ</t>
    </rPh>
    <phoneticPr fontId="20"/>
  </si>
  <si>
    <t>テキスト</t>
    <phoneticPr fontId="20"/>
  </si>
  <si>
    <t>拡張テキスト</t>
    <phoneticPr fontId="20"/>
  </si>
  <si>
    <t>関数を変更しました。</t>
    <rPh sb="0" eb="2">
      <t>カンスウ</t>
    </rPh>
    <rPh sb="3" eb="5">
      <t>ヘンコウ</t>
    </rPh>
    <phoneticPr fontId="20"/>
  </si>
  <si>
    <t>価格表示オプション(Googleのみ)</t>
    <rPh sb="0" eb="2">
      <t>カカク</t>
    </rPh>
    <rPh sb="2" eb="4">
      <t>ヒョウジ</t>
    </rPh>
    <phoneticPr fontId="13"/>
  </si>
  <si>
    <t>言語</t>
    <rPh sb="0" eb="2">
      <t>ゲンゴ</t>
    </rPh>
    <phoneticPr fontId="0"/>
  </si>
  <si>
    <t>タイプ</t>
    <phoneticPr fontId="0"/>
  </si>
  <si>
    <t>通貨</t>
    <rPh sb="0" eb="2">
      <t>ツウカ</t>
    </rPh>
    <phoneticPr fontId="0"/>
  </si>
  <si>
    <t>価格修飾子</t>
    <rPh sb="0" eb="2">
      <t>カカク</t>
    </rPh>
    <rPh sb="2" eb="4">
      <t>シュウショク</t>
    </rPh>
    <rPh sb="4" eb="5">
      <t>シ</t>
    </rPh>
    <phoneticPr fontId="0"/>
  </si>
  <si>
    <t>価格</t>
    <rPh sb="0" eb="2">
      <t>カカク</t>
    </rPh>
    <phoneticPr fontId="0"/>
  </si>
  <si>
    <t>ユニット</t>
    <phoneticPr fontId="0"/>
  </si>
  <si>
    <t>最終ページURL</t>
    <rPh sb="0" eb="2">
      <t>サイシュウ</t>
    </rPh>
    <phoneticPr fontId="0"/>
  </si>
  <si>
    <t>通貨</t>
    <rPh sb="0" eb="2">
      <t>ツウカ</t>
    </rPh>
    <phoneticPr fontId="16"/>
  </si>
  <si>
    <t>価格修飾子</t>
    <rPh sb="0" eb="2">
      <t>カカク</t>
    </rPh>
    <rPh sb="2" eb="4">
      <t>シュウショク</t>
    </rPh>
    <rPh sb="4" eb="5">
      <t>シ</t>
    </rPh>
    <phoneticPr fontId="16"/>
  </si>
  <si>
    <t>地域</t>
    <rPh sb="0" eb="2">
      <t>チイキ</t>
    </rPh>
    <phoneticPr fontId="16"/>
  </si>
  <si>
    <t>周辺地域</t>
    <rPh sb="0" eb="2">
      <t>シュウヘン</t>
    </rPh>
    <rPh sb="2" eb="4">
      <t>チイキ</t>
    </rPh>
    <phoneticPr fontId="16"/>
  </si>
  <si>
    <t>商品のカテゴリ</t>
    <rPh sb="0" eb="2">
      <t>ショウヒン</t>
    </rPh>
    <phoneticPr fontId="16"/>
  </si>
  <si>
    <t>商品のバリエーション</t>
    <rPh sb="0" eb="2">
      <t>ショウヒン</t>
    </rPh>
    <phoneticPr fontId="16"/>
  </si>
  <si>
    <t>修飾子なし</t>
    <rPh sb="0" eb="2">
      <t>シュウショク</t>
    </rPh>
    <rPh sb="2" eb="3">
      <t>シ</t>
    </rPh>
    <phoneticPr fontId="16"/>
  </si>
  <si>
    <t>最低</t>
    <rPh sb="0" eb="2">
      <t>サイテイ</t>
    </rPh>
    <phoneticPr fontId="16"/>
  </si>
  <si>
    <t>最高</t>
    <rPh sb="0" eb="2">
      <t>サイコウ</t>
    </rPh>
    <phoneticPr fontId="16"/>
  </si>
  <si>
    <t>単位なし</t>
    <rPh sb="0" eb="2">
      <t>タンイ</t>
    </rPh>
    <phoneticPr fontId="16"/>
  </si>
  <si>
    <t>1時間</t>
    <rPh sb="1" eb="3">
      <t>ジカン</t>
    </rPh>
    <phoneticPr fontId="16"/>
  </si>
  <si>
    <t>1日</t>
    <rPh sb="1" eb="2">
      <t>ニチ</t>
    </rPh>
    <phoneticPr fontId="16"/>
  </si>
  <si>
    <t>1週間</t>
    <rPh sb="1" eb="3">
      <t>シュウカン</t>
    </rPh>
    <phoneticPr fontId="16"/>
  </si>
  <si>
    <t>1ヶ月</t>
    <rPh sb="2" eb="3">
      <t>ゲツ</t>
    </rPh>
    <phoneticPr fontId="16"/>
  </si>
  <si>
    <t>1年</t>
    <rPh sb="1" eb="2">
      <t>ネン</t>
    </rPh>
    <phoneticPr fontId="16"/>
  </si>
  <si>
    <t>サイトリンク</t>
    <phoneticPr fontId="14"/>
  </si>
  <si>
    <t>アカウント名</t>
    <rPh sb="5" eb="6">
      <t>メイ</t>
    </rPh>
    <phoneticPr fontId="16"/>
  </si>
  <si>
    <t>アカウントID</t>
    <phoneticPr fontId="16"/>
  </si>
  <si>
    <t>広告配信最適化</t>
    <rPh sb="2" eb="4">
      <t>ハイシン</t>
    </rPh>
    <rPh sb="4" eb="7">
      <t>サイテキカ</t>
    </rPh>
    <phoneticPr fontId="16"/>
  </si>
  <si>
    <t>入札戦略</t>
    <rPh sb="0" eb="2">
      <t>ニュウサツ</t>
    </rPh>
    <rPh sb="2" eb="4">
      <t>センリャク</t>
    </rPh>
    <phoneticPr fontId="16"/>
  </si>
  <si>
    <t>RMタグ発行</t>
    <rPh sb="4" eb="6">
      <t>ハッコウ</t>
    </rPh>
    <phoneticPr fontId="16"/>
  </si>
  <si>
    <t>キャンペーン</t>
    <phoneticPr fontId="16"/>
  </si>
  <si>
    <t>媒体</t>
    <rPh sb="0" eb="2">
      <t>バイタイ</t>
    </rPh>
    <phoneticPr fontId="14"/>
  </si>
  <si>
    <t>例）RM_AAA-CV</t>
  </si>
  <si>
    <t>■ユーザーリスト（単体）</t>
    <rPh sb="9" eb="11">
      <t>タンタイ</t>
    </rPh>
    <phoneticPr fontId="14"/>
  </si>
  <si>
    <t>基本情報</t>
    <rPh sb="0" eb="2">
      <t>キホン</t>
    </rPh>
    <rPh sb="2" eb="4">
      <t>ジョウホウ</t>
    </rPh>
    <phoneticPr fontId="14"/>
  </si>
  <si>
    <t>次のいずれかの条件に一致:</t>
    <phoneticPr fontId="14"/>
  </si>
  <si>
    <t>有効期間</t>
  </si>
  <si>
    <t>条件</t>
    <rPh sb="0" eb="2">
      <t>ジョウケン</t>
    </rPh>
    <phoneticPr fontId="16"/>
  </si>
  <si>
    <t>URL</t>
  </si>
  <si>
    <t>次を含む</t>
    <rPh sb="0" eb="1">
      <t>ツギ</t>
    </rPh>
    <rPh sb="2" eb="3">
      <t>フク</t>
    </rPh>
    <phoneticPr fontId="16"/>
  </si>
  <si>
    <t>www.example.com/1/</t>
    <phoneticPr fontId="14"/>
  </si>
  <si>
    <t>＋</t>
  </si>
  <si>
    <t>http://www.example.com/aaa/</t>
    <phoneticPr fontId="14"/>
  </si>
  <si>
    <t>www.example.com/2/</t>
  </si>
  <si>
    <t>www.example.com/3/</t>
  </si>
  <si>
    <t>www.example.com/4/</t>
  </si>
  <si>
    <t>CVタグ2</t>
    <phoneticPr fontId="14"/>
  </si>
  <si>
    <t>↑↑↑↑↑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t>
    <rPh sb="10" eb="12">
      <t>ミホン</t>
    </rPh>
    <phoneticPr fontId="14"/>
  </si>
  <si>
    <t>■ユーザーリスト（組み合わせ）</t>
    <phoneticPr fontId="14"/>
  </si>
  <si>
    <t>#</t>
    <phoneticPr fontId="14"/>
  </si>
  <si>
    <t>組み合わせルール</t>
    <rPh sb="0" eb="1">
      <t>ク</t>
    </rPh>
    <rPh sb="2" eb="3">
      <t>ア</t>
    </rPh>
    <phoneticPr fontId="16"/>
  </si>
  <si>
    <t>例）RM_AAA_1-5 &amp; not CV &amp; not CV2</t>
    <phoneticPr fontId="14"/>
  </si>
  <si>
    <t>いずれかのユーザー（OR）</t>
  </si>
  <si>
    <t>例）RM_AAA1</t>
  </si>
  <si>
    <t>例）RM_AAA2</t>
  </si>
  <si>
    <t>AND</t>
  </si>
  <si>
    <t>選択したユーザーリスト以外</t>
    <rPh sb="0" eb="2">
      <t>センタク</t>
    </rPh>
    <rPh sb="11" eb="13">
      <t>イガイ</t>
    </rPh>
    <phoneticPr fontId="16"/>
  </si>
  <si>
    <t>例）RM_AAA-CV2</t>
  </si>
  <si>
    <t>参照元URL</t>
    <rPh sb="0" eb="3">
      <t>サンショウモト</t>
    </rPh>
    <phoneticPr fontId="16"/>
  </si>
  <si>
    <t>関連付け
（配信／除外）</t>
    <rPh sb="6" eb="8">
      <t>ハイシン</t>
    </rPh>
    <rPh sb="9" eb="11">
      <t>ジョガイ</t>
    </rPh>
    <phoneticPr fontId="14"/>
  </si>
  <si>
    <t>配信</t>
    <rPh sb="0" eb="2">
      <t>ハイシン</t>
    </rPh>
    <phoneticPr fontId="16"/>
  </si>
  <si>
    <t>除外</t>
    <rPh sb="0" eb="2">
      <t>ジョガイ</t>
    </rPh>
    <phoneticPr fontId="16"/>
  </si>
  <si>
    <t>例）RM_AAA_1-5 &amp; not CV &amp; not CV1</t>
    <phoneticPr fontId="14"/>
  </si>
  <si>
    <t>広告掲載方式の指定</t>
    <rPh sb="0" eb="2">
      <t>コウコク</t>
    </rPh>
    <rPh sb="2" eb="4">
      <t>ケイサイ</t>
    </rPh>
    <rPh sb="4" eb="6">
      <t>ホウシキ</t>
    </rPh>
    <rPh sb="7" eb="9">
      <t>シテイ</t>
    </rPh>
    <phoneticPr fontId="16"/>
  </si>
  <si>
    <t>Ver.1.5.6</t>
    <phoneticPr fontId="20"/>
  </si>
  <si>
    <t>「ユーザーリスト」シートを追加しました。</t>
    <rPh sb="13" eb="15">
      <t>ツイカ</t>
    </rPh>
    <phoneticPr fontId="20"/>
  </si>
  <si>
    <r>
      <t xml:space="preserve">サイトリンク／クイックリンク </t>
    </r>
    <r>
      <rPr>
        <b/>
        <sz val="9"/>
        <color rgb="FFFF0000"/>
        <rFont val="メイリオ"/>
        <family val="3"/>
        <charset val="128"/>
      </rPr>
      <t>※設定の際は2つ以上必須／Gorinは4つ以上設定</t>
    </r>
    <rPh sb="16" eb="18">
      <t>セッテイ</t>
    </rPh>
    <rPh sb="19" eb="20">
      <t>サイ</t>
    </rPh>
    <rPh sb="23" eb="25">
      <t>イジョウ</t>
    </rPh>
    <rPh sb="25" eb="27">
      <t>ヒッス</t>
    </rPh>
    <rPh sb="36" eb="38">
      <t>イジョウ</t>
    </rPh>
    <rPh sb="38" eb="40">
      <t>セッテイ</t>
    </rPh>
    <phoneticPr fontId="16"/>
  </si>
  <si>
    <r>
      <t xml:space="preserve">コールアウト／補足テキスト </t>
    </r>
    <r>
      <rPr>
        <b/>
        <sz val="9"/>
        <color rgb="FFFF0000"/>
        <rFont val="メイリオ"/>
        <family val="3"/>
        <charset val="128"/>
      </rPr>
      <t>※設定の際は2つ以上必須／Gorinは4つ以上設定</t>
    </r>
    <rPh sb="7" eb="9">
      <t>ホソク</t>
    </rPh>
    <rPh sb="15" eb="17">
      <t>セッテイ</t>
    </rPh>
    <rPh sb="18" eb="19">
      <t>サイ</t>
    </rPh>
    <rPh sb="22" eb="24">
      <t>イジョウ</t>
    </rPh>
    <rPh sb="24" eb="26">
      <t>ヒッス</t>
    </rPh>
    <rPh sb="35" eb="37">
      <t>イジョウ</t>
    </rPh>
    <rPh sb="37" eb="39">
      <t>セッテイ</t>
    </rPh>
    <phoneticPr fontId="16"/>
  </si>
  <si>
    <t>自分のウェブサイトのGoogleインデックスを使用する</t>
  </si>
  <si>
    <t>自分のページフィードのURLのみを使用する</t>
  </si>
  <si>
    <t>自分のウェブサイトのGoogleインデックスと自分のページフィードのURLを両方使用する</t>
  </si>
  <si>
    <t>動的検索広告の列を追加しました。</t>
    <rPh sb="0" eb="2">
      <t>ドウテキ</t>
    </rPh>
    <rPh sb="2" eb="4">
      <t>ケンサク</t>
    </rPh>
    <rPh sb="4" eb="6">
      <t>コウコク</t>
    </rPh>
    <rPh sb="7" eb="8">
      <t>レツ</t>
    </rPh>
    <rPh sb="9" eb="11">
      <t>ツイカ</t>
    </rPh>
    <phoneticPr fontId="20"/>
  </si>
  <si>
    <t>Ver.1.6.6</t>
    <phoneticPr fontId="20"/>
  </si>
  <si>
    <t>ユーザーリスト名</t>
    <rPh sb="7" eb="8">
      <t>メイ</t>
    </rPh>
    <phoneticPr fontId="14"/>
  </si>
  <si>
    <t>Ver.1.6.7</t>
    <phoneticPr fontId="20"/>
  </si>
  <si>
    <t>デフォルト設定を変更しました。</t>
    <rPh sb="5" eb="7">
      <t>セッテイ</t>
    </rPh>
    <rPh sb="8" eb="10">
      <t>ヘンコウ</t>
    </rPh>
    <phoneticPr fontId="20"/>
  </si>
  <si>
    <t>※入稿作業者が依頼通りに設定を行えず納品した場合(ターゲット、ユーザーリスト等)は該当の広告グループのステータスをオフにして納品致します。</t>
    <rPh sb="38" eb="39">
      <t>トウ</t>
    </rPh>
    <phoneticPr fontId="14"/>
  </si>
  <si>
    <t>Ver.1.7.7</t>
    <phoneticPr fontId="20"/>
  </si>
  <si>
    <t>Ver.1.7.8</t>
    <phoneticPr fontId="20"/>
  </si>
  <si>
    <t>ラベルを追加しました。</t>
    <rPh sb="4" eb="6">
      <t>ツイカ</t>
    </rPh>
    <phoneticPr fontId="20"/>
  </si>
  <si>
    <t>A1セルにバージョン記載をしました。必須項目に条件付書式を設定しました。</t>
    <rPh sb="10" eb="12">
      <t>キサイ</t>
    </rPh>
    <rPh sb="18" eb="20">
      <t>ヒッス</t>
    </rPh>
    <rPh sb="20" eb="22">
      <t>コウモク</t>
    </rPh>
    <rPh sb="23" eb="26">
      <t>ジョウケンツキ</t>
    </rPh>
    <rPh sb="26" eb="28">
      <t>ショシキ</t>
    </rPh>
    <rPh sb="29" eb="31">
      <t>セッテイ</t>
    </rPh>
    <phoneticPr fontId="20"/>
  </si>
  <si>
    <t>PC</t>
    <phoneticPr fontId="14"/>
  </si>
  <si>
    <t>Tab</t>
    <phoneticPr fontId="14"/>
  </si>
  <si>
    <t>引き上げ率</t>
    <rPh sb="0" eb="1">
      <t>ヒ</t>
    </rPh>
    <rPh sb="2" eb="3">
      <t>ア</t>
    </rPh>
    <rPh sb="4" eb="5">
      <t>リツ</t>
    </rPh>
    <phoneticPr fontId="16"/>
  </si>
  <si>
    <t>引き下げ率</t>
    <rPh sb="0" eb="1">
      <t>ヒ</t>
    </rPh>
    <rPh sb="2" eb="3">
      <t>サ</t>
    </rPh>
    <rPh sb="4" eb="5">
      <t>リツ</t>
    </rPh>
    <phoneticPr fontId="16"/>
  </si>
  <si>
    <t>ターゲット地域にいるユーザー、ターゲット地域に関する情報を検索しているユーザー、またはターゲット地域に関心を示しているユーザー</t>
  </si>
  <si>
    <t>除外地域にいるユーザー、除外地域に関する情報を検索しているユーザー、または除外地域に関心を示しているユーザー</t>
  </si>
  <si>
    <t>ターゲット地域の詳細設定(ターゲット)</t>
    <rPh sb="5" eb="7">
      <t>チイキ</t>
    </rPh>
    <rPh sb="8" eb="10">
      <t>ショウサイ</t>
    </rPh>
    <rPh sb="10" eb="12">
      <t>セッテイ</t>
    </rPh>
    <phoneticPr fontId="14"/>
  </si>
  <si>
    <t>ターゲット地域の詳細設定(除外)</t>
    <rPh sb="5" eb="7">
      <t>チイキ</t>
    </rPh>
    <rPh sb="8" eb="10">
      <t>ショウサイ</t>
    </rPh>
    <rPh sb="10" eb="12">
      <t>セッテイ</t>
    </rPh>
    <rPh sb="13" eb="15">
      <t>ジョガイ</t>
    </rPh>
    <phoneticPr fontId="14"/>
  </si>
  <si>
    <t>キーワード</t>
    <phoneticPr fontId="20"/>
  </si>
  <si>
    <t>重複は色が付くように設定しました。</t>
    <rPh sb="0" eb="2">
      <t>チョウフク</t>
    </rPh>
    <rPh sb="3" eb="4">
      <t>イロ</t>
    </rPh>
    <rPh sb="5" eb="6">
      <t>ツ</t>
    </rPh>
    <rPh sb="10" eb="12">
      <t>セッテイ</t>
    </rPh>
    <phoneticPr fontId="20"/>
  </si>
  <si>
    <t>サイトリンク／クイックリンク</t>
    <phoneticPr fontId="16"/>
  </si>
  <si>
    <t>電話番号表示オプション</t>
    <rPh sb="0" eb="2">
      <t>デンワ</t>
    </rPh>
    <rPh sb="2" eb="4">
      <t>バンゴウ</t>
    </rPh>
    <rPh sb="4" eb="6">
      <t>ヒョウジ</t>
    </rPh>
    <phoneticPr fontId="11"/>
  </si>
  <si>
    <t>住所表示オプション</t>
    <rPh sb="0" eb="2">
      <t>ジュウショ</t>
    </rPh>
    <rPh sb="2" eb="4">
      <t>ヒョウジ</t>
    </rPh>
    <phoneticPr fontId="11"/>
  </si>
  <si>
    <t>価格表示オプション※Googleのみ</t>
    <rPh sb="0" eb="2">
      <t>カカク</t>
    </rPh>
    <rPh sb="2" eb="4">
      <t>ヒョウジ</t>
    </rPh>
    <phoneticPr fontId="11"/>
  </si>
  <si>
    <t>タイプ</t>
    <phoneticPr fontId="0"/>
  </si>
  <si>
    <t>ユニット</t>
    <phoneticPr fontId="0"/>
  </si>
  <si>
    <t>キャンペーンA</t>
    <phoneticPr fontId="16"/>
  </si>
  <si>
    <t>一流を味わう志摩の旅</t>
    <rPh sb="0" eb="2">
      <t>イチリュウ</t>
    </rPh>
    <rPh sb="3" eb="4">
      <t>アジ</t>
    </rPh>
    <rPh sb="6" eb="8">
      <t>シマ</t>
    </rPh>
    <rPh sb="9" eb="10">
      <t>タビ</t>
    </rPh>
    <phoneticPr fontId="0"/>
  </si>
  <si>
    <t>http://www.example.com/</t>
  </si>
  <si>
    <t>妻と二人だけの清水の旅</t>
    <rPh sb="0" eb="1">
      <t>ツマ</t>
    </rPh>
    <rPh sb="2" eb="4">
      <t>フタリ</t>
    </rPh>
    <rPh sb="7" eb="9">
      <t>シミズ</t>
    </rPh>
    <rPh sb="10" eb="11">
      <t>タビ</t>
    </rPh>
    <phoneticPr fontId="0"/>
  </si>
  <si>
    <t>北海道ロングドライブ</t>
    <rPh sb="0" eb="3">
      <t>ホッカイドウ</t>
    </rPh>
    <phoneticPr fontId="0"/>
  </si>
  <si>
    <t>三世代ドライブで行く京都</t>
    <rPh sb="0" eb="1">
      <t>キョウゾウ</t>
    </rPh>
    <rPh sb="1" eb="3">
      <t>セダイ</t>
    </rPh>
    <rPh sb="8" eb="9">
      <t>イ</t>
    </rPh>
    <rPh sb="10" eb="12">
      <t>キョウト</t>
    </rPh>
    <phoneticPr fontId="0"/>
  </si>
  <si>
    <t>広さだけでない上質な装備</t>
    <rPh sb="0" eb="1">
      <t>ヒロ</t>
    </rPh>
    <rPh sb="7" eb="9">
      <t>ジョウシツ</t>
    </rPh>
    <rPh sb="10" eb="12">
      <t>ソウビ</t>
    </rPh>
    <phoneticPr fontId="0"/>
  </si>
  <si>
    <t>より使いやすい空間</t>
    <rPh sb="2" eb="3">
      <t>ツカ</t>
    </rPh>
    <rPh sb="7" eb="9">
      <t>クウカン</t>
    </rPh>
    <phoneticPr fontId="0"/>
  </si>
  <si>
    <t>誰もが使える心づかい</t>
    <rPh sb="0" eb="1">
      <t>ダレ</t>
    </rPh>
    <rPh sb="3" eb="4">
      <t>ツカ</t>
    </rPh>
    <rPh sb="6" eb="7">
      <t>ココロ</t>
    </rPh>
    <phoneticPr fontId="0"/>
  </si>
  <si>
    <t>安心ドライビングサポート</t>
    <rPh sb="0" eb="2">
      <t>アンシン</t>
    </rPh>
    <phoneticPr fontId="0"/>
  </si>
  <si>
    <t>スタイル</t>
  </si>
  <si>
    <t>03-0000-0000</t>
  </si>
  <si>
    <t>東京都港区東新橋1-8-1</t>
    <rPh sb="0" eb="3">
      <t>トウキョウト</t>
    </rPh>
    <rPh sb="3" eb="5">
      <t>ミナトク</t>
    </rPh>
    <rPh sb="5" eb="8">
      <t>ヒガシシンバシ</t>
    </rPh>
    <phoneticPr fontId="0"/>
  </si>
  <si>
    <t>ブランド</t>
  </si>
  <si>
    <t>JPY</t>
  </si>
  <si>
    <t>ブランド A</t>
    <phoneticPr fontId="16"/>
  </si>
  <si>
    <t>お得な価格</t>
    <phoneticPr fontId="16"/>
  </si>
  <si>
    <t>↑↑↑↑↑　ここまで入力見本　↑↑↑↑↑</t>
    <rPh sb="10" eb="12">
      <t>ニュウリョク</t>
    </rPh>
    <rPh sb="12" eb="14">
      <t>ミホン</t>
    </rPh>
    <phoneticPr fontId="16"/>
  </si>
  <si>
    <t>キーワード（指定）</t>
    <phoneticPr fontId="20"/>
  </si>
  <si>
    <t>入力規則を修正しました。</t>
    <rPh sb="0" eb="2">
      <t>ニュウリョク</t>
    </rPh>
    <rPh sb="2" eb="4">
      <t>キソク</t>
    </rPh>
    <rPh sb="5" eb="7">
      <t>シュウセイ</t>
    </rPh>
    <phoneticPr fontId="20"/>
  </si>
  <si>
    <t>広告表示オプション（関連付け）</t>
  </si>
  <si>
    <t>価格表示オプションを追加しました。</t>
    <rPh sb="0" eb="2">
      <t>カカク</t>
    </rPh>
    <rPh sb="2" eb="4">
      <t>ヒョウジ</t>
    </rPh>
    <rPh sb="10" eb="12">
      <t>ツイカ</t>
    </rPh>
    <phoneticPr fontId="20"/>
  </si>
  <si>
    <t>Ver.1.7.9</t>
    <phoneticPr fontId="20"/>
  </si>
  <si>
    <t>広告グループ</t>
    <rPh sb="0" eb="2">
      <t>コウコク</t>
    </rPh>
    <phoneticPr fontId="14"/>
  </si>
  <si>
    <t>デフォルト設定</t>
    <phoneticPr fontId="20"/>
  </si>
  <si>
    <t>キャンペーン設定</t>
    <phoneticPr fontId="14"/>
  </si>
  <si>
    <t>標準キャンペーン</t>
  </si>
  <si>
    <t>検索を含むすべての広告掲載方式</t>
  </si>
  <si>
    <t>拡張CPC</t>
  </si>
  <si>
    <t>無効（CVタグ発行案件は有効）</t>
  </si>
  <si>
    <t>入札戦略</t>
  </si>
  <si>
    <t>地域設定</t>
  </si>
  <si>
    <t>日本</t>
  </si>
  <si>
    <t>言語設定</t>
  </si>
  <si>
    <t>-</t>
  </si>
  <si>
    <t>日本語</t>
  </si>
  <si>
    <t>ターゲット地域の詳細設定（ターゲット）</t>
  </si>
  <si>
    <t>ターゲット地域の詳細設定（除外）</t>
  </si>
  <si>
    <t>配信方法</t>
  </si>
  <si>
    <t>標準：広告配信を最適化し予算を均等に消化します</t>
  </si>
  <si>
    <t>広告のスケジュール設定</t>
  </si>
  <si>
    <t>設定しない（曜日・時間帯に関係なく表示）</t>
  </si>
  <si>
    <t>広告を常時表示しています</t>
  </si>
  <si>
    <t>広告表示オプション（自動）の詳細設定</t>
  </si>
  <si>
    <t>広告グループ設定</t>
  </si>
  <si>
    <t>入札単価</t>
  </si>
  <si>
    <t>Ver.1.7.10</t>
    <phoneticPr fontId="20"/>
  </si>
  <si>
    <t>デフォルト設定</t>
  </si>
  <si>
    <t>デフォルトルールの更新</t>
    <rPh sb="9" eb="11">
      <t>コウシン</t>
    </rPh>
    <phoneticPr fontId="20"/>
  </si>
  <si>
    <t>生井太基</t>
    <rPh sb="0" eb="2">
      <t>ナマイ</t>
    </rPh>
    <rPh sb="2" eb="3">
      <t>フト</t>
    </rPh>
    <rPh sb="3" eb="4">
      <t>モト</t>
    </rPh>
    <phoneticPr fontId="20"/>
  </si>
  <si>
    <t>広告表示オプション（共有）</t>
    <phoneticPr fontId="20"/>
  </si>
  <si>
    <t>各項目に開始日/終了日追加</t>
    <rPh sb="0" eb="1">
      <t>カク</t>
    </rPh>
    <rPh sb="1" eb="3">
      <t>コウモク</t>
    </rPh>
    <rPh sb="4" eb="7">
      <t>カイシビ</t>
    </rPh>
    <rPh sb="8" eb="11">
      <t>シュウリョウビ</t>
    </rPh>
    <rPh sb="11" eb="13">
      <t>ツイカ</t>
    </rPh>
    <phoneticPr fontId="20"/>
  </si>
  <si>
    <t>開始日</t>
    <rPh sb="0" eb="3">
      <t>カイシビ</t>
    </rPh>
    <phoneticPr fontId="16"/>
  </si>
  <si>
    <t>終了日</t>
    <rPh sb="0" eb="3">
      <t>シュウリョウビ</t>
    </rPh>
    <phoneticPr fontId="16"/>
  </si>
  <si>
    <t>ユーザーリスト（単体/組み合わせ）</t>
    <rPh sb="11" eb="12">
      <t>ク</t>
    </rPh>
    <rPh sb="13" eb="14">
      <t>ア</t>
    </rPh>
    <phoneticPr fontId="20"/>
  </si>
  <si>
    <t>■地域設定</t>
    <rPh sb="1" eb="3">
      <t>チイキ</t>
    </rPh>
    <rPh sb="3" eb="5">
      <t>セッテイ</t>
    </rPh>
    <phoneticPr fontId="14"/>
  </si>
  <si>
    <t>関連付け
（配信／除外）</t>
    <phoneticPr fontId="20"/>
  </si>
  <si>
    <t>地域設定</t>
    <rPh sb="0" eb="2">
      <t>チイキ</t>
    </rPh>
    <rPh sb="2" eb="4">
      <t>セッテイ</t>
    </rPh>
    <phoneticPr fontId="20"/>
  </si>
  <si>
    <t>シート作成</t>
    <rPh sb="3" eb="5">
      <t>サクセイ</t>
    </rPh>
    <phoneticPr fontId="20"/>
  </si>
  <si>
    <t>■時間設定</t>
    <rPh sb="1" eb="3">
      <t>ジカン</t>
    </rPh>
    <rPh sb="3" eb="5">
      <t>セッテイ</t>
    </rPh>
    <phoneticPr fontId="14"/>
  </si>
  <si>
    <t>曜日</t>
    <rPh sb="0" eb="2">
      <t>ヨウビ</t>
    </rPh>
    <phoneticPr fontId="20"/>
  </si>
  <si>
    <t>開始時間</t>
    <rPh sb="0" eb="2">
      <t>カイシ</t>
    </rPh>
    <rPh sb="2" eb="4">
      <t>ジカン</t>
    </rPh>
    <phoneticPr fontId="20"/>
  </si>
  <si>
    <t>終了時間</t>
    <rPh sb="0" eb="2">
      <t>シュウリョウ</t>
    </rPh>
    <rPh sb="2" eb="4">
      <t>ジカン</t>
    </rPh>
    <phoneticPr fontId="20"/>
  </si>
  <si>
    <t>すべての曜日</t>
    <rPh sb="4" eb="6">
      <t>ヨウビ</t>
    </rPh>
    <phoneticPr fontId="16"/>
  </si>
  <si>
    <t>月曜</t>
    <rPh sb="0" eb="2">
      <t>ゲツヨウ</t>
    </rPh>
    <phoneticPr fontId="16"/>
  </si>
  <si>
    <t>火曜</t>
    <rPh sb="0" eb="2">
      <t>カヨウ</t>
    </rPh>
    <phoneticPr fontId="16"/>
  </si>
  <si>
    <t>水曜</t>
    <rPh sb="0" eb="2">
      <t>スイヨウ</t>
    </rPh>
    <phoneticPr fontId="16"/>
  </si>
  <si>
    <t>木曜</t>
    <rPh sb="0" eb="2">
      <t>モクヨウ</t>
    </rPh>
    <phoneticPr fontId="16"/>
  </si>
  <si>
    <t>金曜</t>
    <rPh sb="0" eb="2">
      <t>キンヨウ</t>
    </rPh>
    <phoneticPr fontId="16"/>
  </si>
  <si>
    <t>月～金</t>
    <rPh sb="0" eb="1">
      <t>ゲツ</t>
    </rPh>
    <rPh sb="2" eb="3">
      <t>キン</t>
    </rPh>
    <phoneticPr fontId="16"/>
  </si>
  <si>
    <t>土曜</t>
    <rPh sb="0" eb="2">
      <t>ドヨウ</t>
    </rPh>
    <phoneticPr fontId="16"/>
  </si>
  <si>
    <t>日曜</t>
    <rPh sb="0" eb="2">
      <t>ニチヨウ</t>
    </rPh>
    <phoneticPr fontId="16"/>
  </si>
  <si>
    <t>土～日</t>
    <rPh sb="0" eb="1">
      <t>ツチ</t>
    </rPh>
    <rPh sb="2" eb="3">
      <t>ヒ</t>
    </rPh>
    <phoneticPr fontId="16"/>
  </si>
  <si>
    <t>時間設定</t>
    <phoneticPr fontId="20"/>
  </si>
  <si>
    <t>Ver.1.8.10</t>
    <phoneticPr fontId="20"/>
  </si>
  <si>
    <t>引き上げ率</t>
    <rPh sb="0" eb="1">
      <t>ヒ</t>
    </rPh>
    <rPh sb="2" eb="3">
      <t>ア</t>
    </rPh>
    <rPh sb="4" eb="5">
      <t>リツ</t>
    </rPh>
    <phoneticPr fontId="20"/>
  </si>
  <si>
    <t>引き下げ率</t>
    <rPh sb="0" eb="1">
      <t>ヒ</t>
    </rPh>
    <rPh sb="2" eb="3">
      <t>サ</t>
    </rPh>
    <rPh sb="4" eb="5">
      <t>リツ</t>
    </rPh>
    <phoneticPr fontId="20"/>
  </si>
  <si>
    <t>入札単価調整比/引き上げ・引き下げ列を追加</t>
    <rPh sb="8" eb="9">
      <t>ヒ</t>
    </rPh>
    <rPh sb="10" eb="11">
      <t>ア</t>
    </rPh>
    <rPh sb="13" eb="14">
      <t>ヒ</t>
    </rPh>
    <rPh sb="15" eb="16">
      <t>サ</t>
    </rPh>
    <rPh sb="17" eb="18">
      <t>レツ</t>
    </rPh>
    <rPh sb="19" eb="21">
      <t>ツイカ</t>
    </rPh>
    <phoneticPr fontId="20"/>
  </si>
  <si>
    <t>クライアント名</t>
    <rPh sb="6" eb="7">
      <t>メイ</t>
    </rPh>
    <phoneticPr fontId="15"/>
  </si>
  <si>
    <t>キャンペーン名</t>
    <rPh sb="6" eb="7">
      <t>メイ</t>
    </rPh>
    <phoneticPr fontId="15"/>
  </si>
  <si>
    <t>フィー方式</t>
    <rPh sb="3" eb="5">
      <t>ホウシキ</t>
    </rPh>
    <phoneticPr fontId="14"/>
  </si>
  <si>
    <t>フィー率</t>
    <rPh sb="3" eb="4">
      <t>リツ</t>
    </rPh>
    <phoneticPr fontId="14"/>
  </si>
  <si>
    <t>値引き率あれば</t>
    <rPh sb="0" eb="2">
      <t>ネビ</t>
    </rPh>
    <rPh sb="3" eb="4">
      <t>リツ</t>
    </rPh>
    <phoneticPr fontId="14"/>
  </si>
  <si>
    <t>CVポイント※3
※あれば記載</t>
  </si>
  <si>
    <t>マクロに合わせてバージョン変更</t>
    <phoneticPr fontId="20"/>
  </si>
  <si>
    <t>梶原みなみ</t>
    <rPh sb="0" eb="2">
      <t>カジハラ</t>
    </rPh>
    <phoneticPr fontId="20"/>
  </si>
  <si>
    <t>Ver.3.0.0</t>
    <phoneticPr fontId="20"/>
  </si>
  <si>
    <t>最適化</t>
  </si>
  <si>
    <t>最適化しない</t>
  </si>
  <si>
    <t>最適化</t>
    <phoneticPr fontId="20"/>
  </si>
  <si>
    <t>全ユーザー</t>
  </si>
  <si>
    <t>Google：柔軟なリーチ
Yahoo：配信対象のユーザー</t>
    <rPh sb="7" eb="9">
      <t>ジュウナン</t>
    </rPh>
    <phoneticPr fontId="16"/>
  </si>
  <si>
    <t>配信対象のユーザー</t>
  </si>
  <si>
    <t>全ユーザー</t>
    <rPh sb="0" eb="1">
      <t>ゼン</t>
    </rPh>
    <phoneticPr fontId="20"/>
  </si>
  <si>
    <t>ワンタッチスライドドア
セカンドシート
サイドテーブル
大容量床下収納</t>
    <rPh sb="28" eb="31">
      <t>ダイヨウリョウ</t>
    </rPh>
    <rPh sb="31" eb="33">
      <t>ユカシタ</t>
    </rPh>
    <rPh sb="33" eb="35">
      <t>シュウノウ</t>
    </rPh>
    <phoneticPr fontId="20"/>
  </si>
  <si>
    <t>総KW数</t>
    <rPh sb="0" eb="1">
      <t>ソウ</t>
    </rPh>
    <rPh sb="3" eb="4">
      <t>スウ</t>
    </rPh>
    <phoneticPr fontId="16"/>
  </si>
  <si>
    <t>メッセージ表示オプション(Googleのみ)</t>
    <rPh sb="5" eb="7">
      <t>ヒョウジ</t>
    </rPh>
    <phoneticPr fontId="9"/>
  </si>
  <si>
    <t>電話番号</t>
    <rPh sb="0" eb="2">
      <t>デンワ</t>
    </rPh>
    <rPh sb="2" eb="4">
      <t>バンゴウ</t>
    </rPh>
    <phoneticPr fontId="9"/>
  </si>
  <si>
    <t>拡張テキスト
（全角17文字・半角35文字）</t>
    <rPh sb="0" eb="2">
      <t>カクチョウ</t>
    </rPh>
    <phoneticPr fontId="9"/>
  </si>
  <si>
    <t>会社名
（全角12文字・半角25文字）</t>
    <rPh sb="0" eb="3">
      <t>カイシャメイ</t>
    </rPh>
    <phoneticPr fontId="0"/>
  </si>
  <si>
    <t>メッセージテキスト
（全角50文字・半角100文字）</t>
    <phoneticPr fontId="16"/>
  </si>
  <si>
    <t>住所表示オプション(Googleのみ)</t>
    <rPh sb="0" eb="2">
      <t>ジュウショ</t>
    </rPh>
    <rPh sb="2" eb="4">
      <t>ヒョウジ</t>
    </rPh>
    <phoneticPr fontId="9"/>
  </si>
  <si>
    <t>Google マイビジネス アカウント</t>
    <phoneticPr fontId="9"/>
  </si>
  <si>
    <t>アプリリンク表示オプション(Googleのみ)</t>
    <rPh sb="6" eb="8">
      <t>ヒョウジ</t>
    </rPh>
    <phoneticPr fontId="9"/>
  </si>
  <si>
    <t>OS</t>
    <phoneticPr fontId="9"/>
  </si>
  <si>
    <t>アプリ名</t>
    <rPh sb="3" eb="4">
      <t>メイ</t>
    </rPh>
    <phoneticPr fontId="9"/>
  </si>
  <si>
    <t>リンクテキスト
（全角12文字・半角25文字）</t>
    <phoneticPr fontId="0"/>
  </si>
  <si>
    <t>プロモーション表示オプション(Googleのみ)</t>
    <rPh sb="7" eb="9">
      <t>ヒョウジ</t>
    </rPh>
    <phoneticPr fontId="9"/>
  </si>
  <si>
    <t>行事</t>
    <rPh sb="0" eb="2">
      <t>ギョウジ</t>
    </rPh>
    <phoneticPr fontId="9"/>
  </si>
  <si>
    <t>言語</t>
    <rPh sb="0" eb="2">
      <t>ゲンゴ</t>
    </rPh>
    <phoneticPr fontId="9"/>
  </si>
  <si>
    <t>プロモーションの種類</t>
    <rPh sb="8" eb="10">
      <t>シュルイ</t>
    </rPh>
    <phoneticPr fontId="16"/>
  </si>
  <si>
    <t>割引額 or 割引率</t>
    <rPh sb="0" eb="3">
      <t>ワリビキガク</t>
    </rPh>
    <phoneticPr fontId="16"/>
  </si>
  <si>
    <t>最終ページURL</t>
    <rPh sb="0" eb="2">
      <t>サイシュウ</t>
    </rPh>
    <phoneticPr fontId="0"/>
  </si>
  <si>
    <t>プロモーションの詳細</t>
    <rPh sb="8" eb="10">
      <t>ショウサイ</t>
    </rPh>
    <phoneticPr fontId="0"/>
  </si>
  <si>
    <t>次の金額以上の注文 or プロモーションコード</t>
    <rPh sb="0" eb="1">
      <t>ツギ</t>
    </rPh>
    <rPh sb="2" eb="4">
      <t>キンガク</t>
    </rPh>
    <rPh sb="4" eb="6">
      <t>イジョウ</t>
    </rPh>
    <rPh sb="7" eb="9">
      <t>チュウモン</t>
    </rPh>
    <phoneticPr fontId="0"/>
  </si>
  <si>
    <t>プロモーションの開始日</t>
    <rPh sb="8" eb="11">
      <t>カイシビ</t>
    </rPh>
    <phoneticPr fontId="0"/>
  </si>
  <si>
    <t>プロモーションの終了日</t>
    <rPh sb="8" eb="11">
      <t>シュウリョウビ</t>
    </rPh>
    <phoneticPr fontId="0"/>
  </si>
  <si>
    <t>OS</t>
  </si>
  <si>
    <t>Android</t>
  </si>
  <si>
    <t>iOS</t>
  </si>
  <si>
    <t>デバイス設定(※タブレットを除く場合)</t>
    <rPh sb="4" eb="6">
      <t>セッテイ</t>
    </rPh>
    <rPh sb="14" eb="15">
      <t>ノゾ</t>
    </rPh>
    <rPh sb="16" eb="18">
      <t>バアイ</t>
    </rPh>
    <phoneticPr fontId="16"/>
  </si>
  <si>
    <t>行事</t>
    <rPh sb="0" eb="2">
      <t>ギョウジ</t>
    </rPh>
    <phoneticPr fontId="16"/>
  </si>
  <si>
    <t>新年</t>
    <rPh sb="0" eb="2">
      <t>シンネン</t>
    </rPh>
    <phoneticPr fontId="16"/>
  </si>
  <si>
    <t>母の日</t>
    <rPh sb="0" eb="1">
      <t>ハハ</t>
    </rPh>
    <rPh sb="2" eb="3">
      <t>ヒ</t>
    </rPh>
    <phoneticPr fontId="16"/>
  </si>
  <si>
    <t>父の日</t>
    <rPh sb="0" eb="1">
      <t>チチ</t>
    </rPh>
    <rPh sb="2" eb="3">
      <t>ヒ</t>
    </rPh>
    <phoneticPr fontId="16"/>
  </si>
  <si>
    <t>新学期</t>
    <rPh sb="0" eb="3">
      <t>シンガッキ</t>
    </rPh>
    <phoneticPr fontId="16"/>
  </si>
  <si>
    <t>日本語</t>
    <rPh sb="0" eb="3">
      <t>ニホンゴ</t>
    </rPh>
    <phoneticPr fontId="16"/>
  </si>
  <si>
    <t>割引額</t>
    <rPh sb="0" eb="3">
      <t>ワリビキガク</t>
    </rPh>
    <phoneticPr fontId="16"/>
  </si>
  <si>
    <t>割引率</t>
    <rPh sb="0" eb="2">
      <t>ワリビキ</t>
    </rPh>
    <rPh sb="2" eb="3">
      <t>リツ</t>
    </rPh>
    <phoneticPr fontId="16"/>
  </si>
  <si>
    <t>最大割引額</t>
    <rPh sb="0" eb="2">
      <t>サイダイ</t>
    </rPh>
    <rPh sb="2" eb="5">
      <t>ワリビキガク</t>
    </rPh>
    <phoneticPr fontId="16"/>
  </si>
  <si>
    <t>最大割引率</t>
    <rPh sb="0" eb="2">
      <t>サイダイ</t>
    </rPh>
    <rPh sb="2" eb="4">
      <t>ワリビキ</t>
    </rPh>
    <rPh sb="4" eb="5">
      <t>リツ</t>
    </rPh>
    <phoneticPr fontId="16"/>
  </si>
  <si>
    <t>プロモーションの詳細</t>
    <rPh sb="8" eb="10">
      <t>ショウサイ</t>
    </rPh>
    <phoneticPr fontId="16"/>
  </si>
  <si>
    <t>次の金額以上のご注文</t>
    <rPh sb="0" eb="1">
      <t>ツギ</t>
    </rPh>
    <rPh sb="2" eb="4">
      <t>キンガク</t>
    </rPh>
    <rPh sb="4" eb="6">
      <t>イジョウ</t>
    </rPh>
    <rPh sb="8" eb="10">
      <t>チュウモン</t>
    </rPh>
    <phoneticPr fontId="16"/>
  </si>
  <si>
    <t>電話番号</t>
    <rPh sb="0" eb="2">
      <t>デンワ</t>
    </rPh>
    <rPh sb="2" eb="4">
      <t>バンゴウ</t>
    </rPh>
    <phoneticPr fontId="16"/>
  </si>
  <si>
    <t>拡張テキスト
（全角17文字・半角35文字）</t>
    <rPh sb="0" eb="2">
      <t>カクチョウ</t>
    </rPh>
    <phoneticPr fontId="16"/>
  </si>
  <si>
    <t>会社名
（全角12文字・半角25文字）</t>
    <rPh sb="0" eb="3">
      <t>カイシャメイ</t>
    </rPh>
    <phoneticPr fontId="16"/>
  </si>
  <si>
    <t>メッセージテキスト
（全角50文字・半角100文字）</t>
    <phoneticPr fontId="16"/>
  </si>
  <si>
    <t>メッセージ表示オプション(Googleのみ)</t>
  </si>
  <si>
    <t>メッセージ表示オプション※Googleのみ</t>
    <phoneticPr fontId="20"/>
  </si>
  <si>
    <t>リンクテキスト
（全角12文字・半角25文字）</t>
  </si>
  <si>
    <t>行事</t>
    <rPh sb="0" eb="2">
      <t>ギョウジ</t>
    </rPh>
    <phoneticPr fontId="16"/>
  </si>
  <si>
    <t>最終ページURL</t>
    <rPh sb="0" eb="2">
      <t>サイシュウ</t>
    </rPh>
    <phoneticPr fontId="16"/>
  </si>
  <si>
    <t>プロモーションの詳細</t>
    <rPh sb="8" eb="10">
      <t>ショウサイ</t>
    </rPh>
    <phoneticPr fontId="16"/>
  </si>
  <si>
    <t>プロモーションの開始日</t>
    <rPh sb="8" eb="11">
      <t>カイシビ</t>
    </rPh>
    <phoneticPr fontId="16"/>
  </si>
  <si>
    <t>プロモーションの終了日</t>
    <rPh sb="8" eb="11">
      <t>シュウリョウビ</t>
    </rPh>
    <phoneticPr fontId="16"/>
  </si>
  <si>
    <t>プロモーション表示オプション(Googleのみ)</t>
  </si>
  <si>
    <t>プロモーション表示オプション※Googleのみ</t>
    <phoneticPr fontId="20"/>
  </si>
  <si>
    <t>次の金額以上の注文 
or 
プロモーションコード</t>
    <rPh sb="0" eb="1">
      <t>ツギ</t>
    </rPh>
    <rPh sb="2" eb="4">
      <t>キンガク</t>
    </rPh>
    <rPh sb="4" eb="6">
      <t>イジョウ</t>
    </rPh>
    <rPh sb="7" eb="9">
      <t>チュウモン</t>
    </rPh>
    <phoneticPr fontId="16"/>
  </si>
  <si>
    <t>アプリリンク表示オプション(Googleのみ)</t>
  </si>
  <si>
    <t>Ver.4.0.0</t>
    <phoneticPr fontId="20"/>
  </si>
  <si>
    <t>広告表示オプション（共有）
広告表示オプション（関連付け）</t>
    <phoneticPr fontId="20"/>
  </si>
  <si>
    <t>メッセージ表示オプション(Googleのみ)、住所表示オプション(Googleのみ)、アプリリンク表示オプション(Googleのみ)、レビュー表示オプション(Googleのみ)、プロモーション表示オプション(Googleのみ)追加しました。</t>
    <rPh sb="113" eb="115">
      <t>ツイカ</t>
    </rPh>
    <phoneticPr fontId="20"/>
  </si>
  <si>
    <t>メニュー設定情報</t>
    <phoneticPr fontId="20"/>
  </si>
  <si>
    <t>キーワード（掛け合わせ）</t>
    <phoneticPr fontId="20"/>
  </si>
  <si>
    <t>広告配信最適化の入力規則を変更しました。</t>
    <rPh sb="8" eb="12">
      <t>ニュウリョクキソク</t>
    </rPh>
    <rPh sb="13" eb="15">
      <t>ヘンコウ</t>
    </rPh>
    <phoneticPr fontId="20"/>
  </si>
  <si>
    <t>掛け合わせ総数のカウントを追加（X2）しました。</t>
    <rPh sb="13" eb="15">
      <t>ツイカ</t>
    </rPh>
    <phoneticPr fontId="20"/>
  </si>
  <si>
    <t>Yahoo!</t>
  </si>
  <si>
    <t>広告</t>
  </si>
  <si>
    <t>■ターゲティング（関連付け）</t>
    <rPh sb="9" eb="11">
      <t>カンレン</t>
    </rPh>
    <rPh sb="11" eb="12">
      <t>ヅ</t>
    </rPh>
    <phoneticPr fontId="14"/>
  </si>
  <si>
    <t>キャンペーン</t>
    <phoneticPr fontId="14"/>
  </si>
  <si>
    <t>Google：リマーケティングリスト名
Yahoo：サイトリターゲティングリスト名</t>
    <phoneticPr fontId="14"/>
  </si>
  <si>
    <t>年齢
※Googleのみ</t>
    <rPh sb="0" eb="2">
      <t>ネンレイ</t>
    </rPh>
    <phoneticPr fontId="14"/>
  </si>
  <si>
    <t>性別
※Googleのみ</t>
    <rPh sb="0" eb="2">
      <t>セイベツ</t>
    </rPh>
    <phoneticPr fontId="14"/>
  </si>
  <si>
    <t>あいうえお</t>
    <phoneticPr fontId="14"/>
  </si>
  <si>
    <t>あ</t>
    <phoneticPr fontId="14"/>
  </si>
  <si>
    <t>例）RM_AAA</t>
  </si>
  <si>
    <t>次を含む</t>
    <rPh sb="0" eb="1">
      <t>ツギ</t>
    </rPh>
    <rPh sb="2" eb="3">
      <t>フク</t>
    </rPh>
    <phoneticPr fontId="20"/>
  </si>
  <si>
    <t>あ</t>
    <phoneticPr fontId="14"/>
  </si>
  <si>
    <t>18-24</t>
  </si>
  <si>
    <t>25-34</t>
  </si>
  <si>
    <t>男性</t>
    <rPh sb="0" eb="2">
      <t>ダンセイ</t>
    </rPh>
    <phoneticPr fontId="16"/>
  </si>
  <si>
    <t>女性</t>
    <rPh sb="0" eb="2">
      <t>ジョセイ</t>
    </rPh>
    <phoneticPr fontId="16"/>
  </si>
  <si>
    <t>top</t>
    <phoneticPr fontId="20"/>
  </si>
  <si>
    <t>カテゴリ</t>
  </si>
  <si>
    <t>シューズ</t>
    <phoneticPr fontId="20"/>
  </si>
  <si>
    <t>↑↑↑↑↑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　　　　　　　　　　↑↑↑↑↑　ここまで見本　↑↑↑↑↑</t>
    <rPh sb="10" eb="12">
      <t>ミホン</t>
    </rPh>
    <phoneticPr fontId="14"/>
  </si>
  <si>
    <t>性別</t>
    <rPh sb="0" eb="2">
      <t>セイベツ</t>
    </rPh>
    <phoneticPr fontId="16"/>
  </si>
  <si>
    <t>動的ターゲット</t>
    <rPh sb="0" eb="2">
      <t>ドウテキ</t>
    </rPh>
    <phoneticPr fontId="16"/>
  </si>
  <si>
    <t>不明</t>
    <rPh sb="0" eb="2">
      <t>フメイ</t>
    </rPh>
    <phoneticPr fontId="16"/>
  </si>
  <si>
    <t>35-44</t>
  </si>
  <si>
    <t>45-54</t>
  </si>
  <si>
    <t>55-64</t>
  </si>
  <si>
    <t>65 歳以上</t>
    <rPh sb="3" eb="4">
      <t>サイ</t>
    </rPh>
    <rPh sb="4" eb="6">
      <t>イジョウ</t>
    </rPh>
    <phoneticPr fontId="16"/>
  </si>
  <si>
    <t>世帯収入
※Googleのみ</t>
    <rPh sb="0" eb="2">
      <t>セタイ</t>
    </rPh>
    <rPh sb="2" eb="4">
      <t>シュウニュウ</t>
    </rPh>
    <phoneticPr fontId="14"/>
  </si>
  <si>
    <t>世帯収入</t>
    <rPh sb="0" eb="2">
      <t>セタイ</t>
    </rPh>
    <rPh sb="2" eb="4">
      <t>シュウニュウ</t>
    </rPh>
    <phoneticPr fontId="16"/>
  </si>
  <si>
    <t>上位 10%</t>
  </si>
  <si>
    <t>インタレストとリマーケティング：モニタリング　　その他：ターゲティング</t>
    <rPh sb="26" eb="27">
      <t>タ</t>
    </rPh>
    <phoneticPr fontId="20"/>
  </si>
  <si>
    <t>KPI</t>
    <phoneticPr fontId="16"/>
  </si>
  <si>
    <t>Ver.5.0.0</t>
    <phoneticPr fontId="20"/>
  </si>
  <si>
    <t>キーワード（掛け合わせ）</t>
    <phoneticPr fontId="20"/>
  </si>
  <si>
    <t>キーワード（掛け合わせ）シートの転記処理を追加しました。</t>
    <rPh sb="16" eb="18">
      <t>テンキ</t>
    </rPh>
    <rPh sb="18" eb="20">
      <t>ショリ</t>
    </rPh>
    <rPh sb="21" eb="23">
      <t>ツイカ</t>
    </rPh>
    <phoneticPr fontId="20"/>
  </si>
  <si>
    <t>平出貴昭</t>
    <rPh sb="0" eb="2">
      <t>ヒライデ</t>
    </rPh>
    <rPh sb="2" eb="4">
      <t>タカアキ</t>
    </rPh>
    <phoneticPr fontId="20"/>
  </si>
  <si>
    <t>期間・キャンペーンごとの予算：
サイトアップ時間：
開始方法の指示：手動開始、サイトアップ確認次第開始
補足事項:</t>
    <rPh sb="0" eb="2">
      <t>キカン</t>
    </rPh>
    <rPh sb="12" eb="14">
      <t>ヨサン</t>
    </rPh>
    <phoneticPr fontId="14"/>
  </si>
  <si>
    <t>外掛け</t>
    <rPh sb="0" eb="2">
      <t>ソトガ</t>
    </rPh>
    <phoneticPr fontId="8"/>
  </si>
  <si>
    <t>※1　（例）クリック数～以上</t>
    <rPh sb="4" eb="5">
      <t>レイ</t>
    </rPh>
    <rPh sb="10" eb="11">
      <t>スウ</t>
    </rPh>
    <rPh sb="12" eb="14">
      <t>イジョウ</t>
    </rPh>
    <phoneticPr fontId="8"/>
  </si>
  <si>
    <t>※2　予算消化優先の場合でも、100％消化を保証することはできない点、ご了承ください</t>
    <rPh sb="3" eb="5">
      <t>ヨサン</t>
    </rPh>
    <rPh sb="5" eb="7">
      <t>ショウカ</t>
    </rPh>
    <rPh sb="7" eb="9">
      <t>ユウセン</t>
    </rPh>
    <rPh sb="10" eb="12">
      <t>バアイ</t>
    </rPh>
    <rPh sb="19" eb="21">
      <t>ショウカ</t>
    </rPh>
    <rPh sb="22" eb="24">
      <t>ホショウ</t>
    </rPh>
    <rPh sb="33" eb="34">
      <t>テン</t>
    </rPh>
    <rPh sb="36" eb="38">
      <t>リョウショウ</t>
    </rPh>
    <phoneticPr fontId="8"/>
  </si>
  <si>
    <t>CV計測の有無</t>
    <rPh sb="2" eb="4">
      <t>ケイソク</t>
    </rPh>
    <rPh sb="5" eb="7">
      <t>ウム</t>
    </rPh>
    <phoneticPr fontId="16"/>
  </si>
  <si>
    <t>※3　（例）資料請求</t>
    <rPh sb="4" eb="5">
      <t>レイ</t>
    </rPh>
    <rPh sb="6" eb="8">
      <t>シリョウ</t>
    </rPh>
    <rPh sb="8" eb="10">
      <t>セイキュウ</t>
    </rPh>
    <phoneticPr fontId="8"/>
  </si>
  <si>
    <t>予算アロケーションの可否</t>
    <rPh sb="0" eb="2">
      <t>ヨサン</t>
    </rPh>
    <rPh sb="10" eb="12">
      <t>カヒ</t>
    </rPh>
    <phoneticPr fontId="8"/>
  </si>
  <si>
    <t>ツール使用の有無</t>
    <rPh sb="3" eb="5">
      <t>シヨウ</t>
    </rPh>
    <rPh sb="6" eb="8">
      <t>ウム</t>
    </rPh>
    <phoneticPr fontId="8"/>
  </si>
  <si>
    <t>有無</t>
    <rPh sb="0" eb="2">
      <t>ウム</t>
    </rPh>
    <phoneticPr fontId="16"/>
  </si>
  <si>
    <t>可否</t>
    <rPh sb="0" eb="2">
      <t>カヒ</t>
    </rPh>
    <phoneticPr fontId="16"/>
  </si>
  <si>
    <t>■キャンペーン</t>
    <phoneticPr fontId="14"/>
  </si>
  <si>
    <t>ステータス</t>
    <phoneticPr fontId="14"/>
  </si>
  <si>
    <t>キャンペーン</t>
    <phoneticPr fontId="16"/>
  </si>
  <si>
    <t>日予算</t>
    <rPh sb="0" eb="1">
      <t>ヒ</t>
    </rPh>
    <rPh sb="1" eb="3">
      <t>ヨサン</t>
    </rPh>
    <phoneticPr fontId="16"/>
  </si>
  <si>
    <t>Google:検索パートナー
Yahoo:広告掲載方式の指定</t>
    <rPh sb="7" eb="9">
      <t>ケンサク</t>
    </rPh>
    <phoneticPr fontId="16"/>
  </si>
  <si>
    <t>デバイス</t>
    <phoneticPr fontId="16"/>
  </si>
  <si>
    <t>IPアドレスの除外
※Googleのみ</t>
    <phoneticPr fontId="14"/>
  </si>
  <si>
    <t>PC</t>
    <phoneticPr fontId="14"/>
  </si>
  <si>
    <t>Tab</t>
    <phoneticPr fontId="14"/>
  </si>
  <si>
    <t>■広告グループ</t>
    <rPh sb="1" eb="3">
      <t>コウコク</t>
    </rPh>
    <phoneticPr fontId="14"/>
  </si>
  <si>
    <t>SP</t>
    <phoneticPr fontId="14"/>
  </si>
  <si>
    <t>予算（グロス）</t>
    <rPh sb="0" eb="2">
      <t>ヨサン</t>
    </rPh>
    <phoneticPr fontId="16"/>
  </si>
  <si>
    <t>キャンペーン予算
（ネット）</t>
    <rPh sb="6" eb="8">
      <t>ヨサン</t>
    </rPh>
    <phoneticPr fontId="16"/>
  </si>
  <si>
    <t>ツール詳細</t>
    <rPh sb="3" eb="5">
      <t>ショウサイ</t>
    </rPh>
    <phoneticPr fontId="8"/>
  </si>
  <si>
    <t>デバイス
※SPのみの場合</t>
    <rPh sb="11" eb="13">
      <t>バアイ</t>
    </rPh>
    <phoneticPr fontId="13"/>
  </si>
  <si>
    <t>デバイス設定
※タブレットを除く場合</t>
    <rPh sb="4" eb="6">
      <t>セッテイ</t>
    </rPh>
    <rPh sb="14" eb="15">
      <t>ノゾ</t>
    </rPh>
    <rPh sb="16" eb="18">
      <t>バアイ</t>
    </rPh>
    <phoneticPr fontId="16"/>
  </si>
  <si>
    <t>アプリリンク表示オプション※Googleのみ</t>
    <phoneticPr fontId="20"/>
  </si>
  <si>
    <t>SD部としてはこの設定をデフォルトとする項目</t>
    <rPh sb="2" eb="3">
      <t>ブ</t>
    </rPh>
    <rPh sb="9" eb="11">
      <t>セッテイ</t>
    </rPh>
    <rPh sb="20" eb="22">
      <t>コウモク</t>
    </rPh>
    <phoneticPr fontId="14"/>
  </si>
  <si>
    <t>自動入札名：自動入札の種類と同じ名前（クリック数の最大化、コンバージョン数の最大化etc）</t>
    <rPh sb="6" eb="8">
      <t>ジドウ</t>
    </rPh>
    <rPh sb="8" eb="10">
      <t>ニュウサツ</t>
    </rPh>
    <rPh sb="11" eb="13">
      <t>シュルイ</t>
    </rPh>
    <rPh sb="14" eb="15">
      <t>オナ</t>
    </rPh>
    <rPh sb="16" eb="18">
      <t>ナマエ</t>
    </rPh>
    <rPh sb="23" eb="24">
      <t>スウ</t>
    </rPh>
    <rPh sb="25" eb="28">
      <t>サイダイカ</t>
    </rPh>
    <rPh sb="36" eb="37">
      <t>スウ</t>
    </rPh>
    <rPh sb="38" eb="41">
      <t>サイダイカ</t>
    </rPh>
    <phoneticPr fontId="20"/>
  </si>
  <si>
    <t>個別クリック単価 ：1円</t>
    <phoneticPr fontId="20"/>
  </si>
  <si>
    <t>自動入札の
上限CPC/目標CPA/ROAS</t>
    <phoneticPr fontId="14"/>
  </si>
  <si>
    <t>広告名
※Yahooのみ</t>
    <rPh sb="0" eb="3">
      <t>コウコクメイ</t>
    </rPh>
    <phoneticPr fontId="16"/>
  </si>
  <si>
    <t>-</t>
    <phoneticPr fontId="20"/>
  </si>
  <si>
    <r>
      <t xml:space="preserve">構造化スニペット／カテゴリ補足オプション </t>
    </r>
    <r>
      <rPr>
        <b/>
        <sz val="9"/>
        <color rgb="FFFF0000"/>
        <rFont val="メイリオ"/>
        <family val="3"/>
        <charset val="128"/>
      </rPr>
      <t>※設定の際は3つ以上必須／Gorinは4つ以上設定</t>
    </r>
    <rPh sb="0" eb="3">
      <t>コウゾウカ</t>
    </rPh>
    <rPh sb="22" eb="24">
      <t>セッテイ</t>
    </rPh>
    <rPh sb="25" eb="26">
      <t>サイ</t>
    </rPh>
    <rPh sb="29" eb="31">
      <t>イジョウ</t>
    </rPh>
    <rPh sb="31" eb="33">
      <t>ヒッス</t>
    </rPh>
    <rPh sb="42" eb="44">
      <t>イジョウ</t>
    </rPh>
    <rPh sb="44" eb="46">
      <t>セッテイ</t>
    </rPh>
    <phoneticPr fontId="14"/>
  </si>
  <si>
    <t>構造化スニペット／カテゴリ補足オプション</t>
    <rPh sb="0" eb="3">
      <t>コウゾウカ</t>
    </rPh>
    <phoneticPr fontId="14"/>
  </si>
  <si>
    <t>キャンペーン予算
（グロス）</t>
    <rPh sb="6" eb="8">
      <t>ヨサン</t>
    </rPh>
    <phoneticPr fontId="16"/>
  </si>
  <si>
    <t>クイックリンク</t>
    <phoneticPr fontId="14"/>
  </si>
  <si>
    <t>カテゴリ補足オプション</t>
    <phoneticPr fontId="14"/>
  </si>
  <si>
    <t>Yahoo!</t>
    <phoneticPr fontId="20"/>
  </si>
  <si>
    <t>DIOS ID</t>
    <phoneticPr fontId="20"/>
  </si>
  <si>
    <t>具体的なKPI目標数値がある場合※1</t>
    <phoneticPr fontId="20"/>
  </si>
  <si>
    <t>KPIと予算消化の優先度※2</t>
    <phoneticPr fontId="20"/>
  </si>
  <si>
    <t>広告グループの種類
※Googleのみ</t>
    <phoneticPr fontId="16"/>
  </si>
  <si>
    <t>購買意向の強いユーザー層
※Googleのみ</t>
    <rPh sb="0" eb="2">
      <t>コウバイ</t>
    </rPh>
    <rPh sb="2" eb="4">
      <t>イコウ</t>
    </rPh>
    <rPh sb="5" eb="6">
      <t>ツヨ</t>
    </rPh>
    <rPh sb="11" eb="12">
      <t>ソウ</t>
    </rPh>
    <phoneticPr fontId="14"/>
  </si>
  <si>
    <t>Ver.6.0.0</t>
    <phoneticPr fontId="20"/>
  </si>
  <si>
    <t>坂戸美輝</t>
    <rPh sb="0" eb="2">
      <t>サカト</t>
    </rPh>
    <rPh sb="2" eb="3">
      <t>ヨシ</t>
    </rPh>
    <rPh sb="3" eb="4">
      <t>キ</t>
    </rPh>
    <phoneticPr fontId="20"/>
  </si>
  <si>
    <t>FMT1本化</t>
    <rPh sb="4" eb="5">
      <t>ポン</t>
    </rPh>
    <rPh sb="5" eb="6">
      <t>カ</t>
    </rPh>
    <phoneticPr fontId="20"/>
  </si>
  <si>
    <t>総予算（グロス）※自動計算</t>
    <rPh sb="0" eb="3">
      <t>ソウヨサン</t>
    </rPh>
    <rPh sb="9" eb="11">
      <t>ジドウ</t>
    </rPh>
    <rPh sb="11" eb="13">
      <t>ケイサン</t>
    </rPh>
    <phoneticPr fontId="14"/>
  </si>
  <si>
    <t>※自動計算で算出してますが必要に応じて修正してください。</t>
    <rPh sb="1" eb="3">
      <t>ジドウ</t>
    </rPh>
    <rPh sb="3" eb="5">
      <t>ケイサン</t>
    </rPh>
    <rPh sb="6" eb="8">
      <t>サンシュツ</t>
    </rPh>
    <rPh sb="13" eb="15">
      <t>ヒツヨウ</t>
    </rPh>
    <rPh sb="16" eb="17">
      <t>オウ</t>
    </rPh>
    <rPh sb="19" eb="21">
      <t>シュウセイ</t>
    </rPh>
    <phoneticPr fontId="20"/>
  </si>
  <si>
    <t>G:柔軟なリーチ/Y:配信対象のユーザー</t>
    <rPh sb="2" eb="4">
      <t>ジュウナン</t>
    </rPh>
    <phoneticPr fontId="20"/>
  </si>
  <si>
    <r>
      <t>▼不使用記号：
タイトルへの感嘆符使用、説明文内での感嘆符連続使用（空けて2回とかもNG）、半角「/」
▼CRチェックツール</t>
    </r>
    <r>
      <rPr>
        <b/>
        <sz val="9"/>
        <color rgb="FFFF0000"/>
        <rFont val="メイリオ"/>
        <family val="3"/>
        <charset val="128"/>
      </rPr>
      <t>※入稿前に必ず確認！</t>
    </r>
    <r>
      <rPr>
        <sz val="9"/>
        <rFont val="メイリオ"/>
        <family val="3"/>
        <charset val="128"/>
      </rPr>
      <t xml:space="preserve">
</t>
    </r>
    <r>
      <rPr>
        <b/>
        <u/>
        <sz val="9"/>
        <rFont val="メイリオ"/>
        <family val="3"/>
        <charset val="128"/>
      </rPr>
      <t>https://cr-check.digidon.net/</t>
    </r>
    <rPh sb="63" eb="65">
      <t>ニュウコウ</t>
    </rPh>
    <rPh sb="65" eb="66">
      <t>マエ</t>
    </rPh>
    <rPh sb="67" eb="68">
      <t>カナラ</t>
    </rPh>
    <rPh sb="69" eb="71">
      <t>カクニン</t>
    </rPh>
    <phoneticPr fontId="14"/>
  </si>
  <si>
    <t>SP</t>
    <phoneticPr fontId="21"/>
  </si>
  <si>
    <t>配信地域判定</t>
    <rPh sb="0" eb="2">
      <t>ハイシン</t>
    </rPh>
    <rPh sb="2" eb="4">
      <t>チイキ</t>
    </rPh>
    <rPh sb="4" eb="6">
      <t>ハンテイ</t>
    </rPh>
    <phoneticPr fontId="16"/>
  </si>
  <si>
    <t>除外地域判定</t>
    <rPh sb="0" eb="2">
      <t>ジョガイ</t>
    </rPh>
    <rPh sb="2" eb="4">
      <t>チイキ</t>
    </rPh>
    <rPh sb="4" eb="6">
      <t>ハンテイ</t>
    </rPh>
    <phoneticPr fontId="16"/>
  </si>
  <si>
    <t>タイトル3</t>
    <phoneticPr fontId="14"/>
  </si>
  <si>
    <t>説明文2</t>
    <rPh sb="0" eb="3">
      <t>セツメイブン</t>
    </rPh>
    <phoneticPr fontId="14"/>
  </si>
  <si>
    <t>説明文1
※動的検索広告の場合は説明文のみ</t>
    <rPh sb="0" eb="3">
      <t>セツメイブン</t>
    </rPh>
    <rPh sb="6" eb="8">
      <t>ドウテキ</t>
    </rPh>
    <rPh sb="8" eb="10">
      <t>ケンサク</t>
    </rPh>
    <rPh sb="10" eb="12">
      <t>コウコク</t>
    </rPh>
    <rPh sb="13" eb="15">
      <t>バアイ</t>
    </rPh>
    <rPh sb="16" eb="19">
      <t>セツメイブン</t>
    </rPh>
    <phoneticPr fontId="14"/>
  </si>
  <si>
    <t>ラベル</t>
    <phoneticPr fontId="14"/>
  </si>
  <si>
    <t>ー</t>
    <phoneticPr fontId="14"/>
  </si>
  <si>
    <t>■キーワード（掛け合わせ）</t>
    <phoneticPr fontId="14"/>
  </si>
  <si>
    <t>●</t>
    <phoneticPr fontId="14"/>
  </si>
  <si>
    <t>No.での組み合わせ</t>
    <phoneticPr fontId="14"/>
  </si>
  <si>
    <t>掛け合わせキーワード</t>
    <phoneticPr fontId="16"/>
  </si>
  <si>
    <t>カテゴリNo.</t>
    <phoneticPr fontId="16"/>
  </si>
  <si>
    <t>No.</t>
    <phoneticPr fontId="16"/>
  </si>
  <si>
    <t>カテゴリ</t>
    <phoneticPr fontId="16"/>
  </si>
  <si>
    <t>キャンペーン</t>
    <phoneticPr fontId="16"/>
  </si>
  <si>
    <t>フ</t>
    <phoneticPr fontId="16"/>
  </si>
  <si>
    <t>No.①</t>
    <phoneticPr fontId="16"/>
  </si>
  <si>
    <t>×</t>
    <phoneticPr fontId="16"/>
  </si>
  <si>
    <t>No.②</t>
    <phoneticPr fontId="16"/>
  </si>
  <si>
    <t>No.③</t>
    <phoneticPr fontId="16"/>
  </si>
  <si>
    <t>カテゴリ①</t>
    <phoneticPr fontId="16"/>
  </si>
  <si>
    <t>カテゴリ②</t>
    <phoneticPr fontId="16"/>
  </si>
  <si>
    <t>×</t>
    <phoneticPr fontId="16"/>
  </si>
  <si>
    <t>カテゴリ③</t>
    <phoneticPr fontId="16"/>
  </si>
  <si>
    <t>フ</t>
    <phoneticPr fontId="14"/>
  </si>
  <si>
    <t>キャンペーン</t>
    <phoneticPr fontId="16"/>
  </si>
  <si>
    <t>×</t>
    <phoneticPr fontId="14"/>
  </si>
  <si>
    <t>キーワード1</t>
    <phoneticPr fontId="16"/>
  </si>
  <si>
    <t>×</t>
    <phoneticPr fontId="16"/>
  </si>
  <si>
    <t>×</t>
    <phoneticPr fontId="14"/>
  </si>
  <si>
    <t>×</t>
    <phoneticPr fontId="14"/>
  </si>
  <si>
    <t>■拡張テキスト</t>
    <phoneticPr fontId="14"/>
  </si>
  <si>
    <t>タイトル1</t>
    <phoneticPr fontId="14"/>
  </si>
  <si>
    <t>Google：パス1
Yahoo：ディレクトリ1</t>
    <phoneticPr fontId="14"/>
  </si>
  <si>
    <t>Google：パス2
Yahoo：ディレクトリ2</t>
    <phoneticPr fontId="14"/>
  </si>
  <si>
    <t>トラッキング
テンプレート</t>
    <phoneticPr fontId="14"/>
  </si>
  <si>
    <t>ラベル</t>
    <phoneticPr fontId="14"/>
  </si>
  <si>
    <t>アイテム
（全角10文字・半角20文字）</t>
  </si>
  <si>
    <t>アイテム
（全角10文字・半角20文字）</t>
    <phoneticPr fontId="16"/>
  </si>
  <si>
    <t>アフィリエイト住所表示オプション(Googleのみ)</t>
    <rPh sb="7" eb="9">
      <t>ジュウショ</t>
    </rPh>
    <rPh sb="9" eb="11">
      <t>ヒョウジ</t>
    </rPh>
    <phoneticPr fontId="9"/>
  </si>
  <si>
    <t>チェーン店1</t>
    <rPh sb="4" eb="5">
      <t>テン</t>
    </rPh>
    <phoneticPr fontId="9"/>
  </si>
  <si>
    <t>チェーン店2</t>
    <rPh sb="4" eb="5">
      <t>テン</t>
    </rPh>
    <phoneticPr fontId="9"/>
  </si>
  <si>
    <t>チェーン店3</t>
    <rPh sb="4" eb="5">
      <t>テン</t>
    </rPh>
    <phoneticPr fontId="9"/>
  </si>
  <si>
    <t>チェーン店4</t>
    <rPh sb="4" eb="5">
      <t>テン</t>
    </rPh>
    <phoneticPr fontId="9"/>
  </si>
  <si>
    <t>チェーン店5</t>
    <rPh sb="4" eb="5">
      <t>テン</t>
    </rPh>
    <phoneticPr fontId="9"/>
  </si>
  <si>
    <t>チェーン店6</t>
    <rPh sb="4" eb="5">
      <t>テン</t>
    </rPh>
    <phoneticPr fontId="9"/>
  </si>
  <si>
    <t>チェーン店7</t>
    <rPh sb="4" eb="5">
      <t>テン</t>
    </rPh>
    <phoneticPr fontId="9"/>
  </si>
  <si>
    <t>チェーン店8</t>
    <rPh sb="4" eb="5">
      <t>テン</t>
    </rPh>
    <phoneticPr fontId="9"/>
  </si>
  <si>
    <t>チェーン店9</t>
    <rPh sb="4" eb="5">
      <t>テン</t>
    </rPh>
    <phoneticPr fontId="9"/>
  </si>
  <si>
    <t>チェーン店10</t>
    <rPh sb="4" eb="5">
      <t>テン</t>
    </rPh>
    <phoneticPr fontId="9"/>
  </si>
  <si>
    <t>チェーン店11</t>
    <rPh sb="4" eb="5">
      <t>テン</t>
    </rPh>
    <phoneticPr fontId="9"/>
  </si>
  <si>
    <t>チェーン店12</t>
    <rPh sb="4" eb="5">
      <t>テン</t>
    </rPh>
    <phoneticPr fontId="9"/>
  </si>
  <si>
    <t>チェーン店13</t>
    <rPh sb="4" eb="5">
      <t>テン</t>
    </rPh>
    <phoneticPr fontId="9"/>
  </si>
  <si>
    <t>チェーン店14</t>
    <rPh sb="4" eb="5">
      <t>テン</t>
    </rPh>
    <phoneticPr fontId="9"/>
  </si>
  <si>
    <t>チェーン店15</t>
    <rPh sb="4" eb="5">
      <t>テン</t>
    </rPh>
    <phoneticPr fontId="9"/>
  </si>
  <si>
    <t>チェーン店16</t>
    <rPh sb="4" eb="5">
      <t>テン</t>
    </rPh>
    <phoneticPr fontId="9"/>
  </si>
  <si>
    <t>チェーン店17</t>
    <rPh sb="4" eb="5">
      <t>テン</t>
    </rPh>
    <phoneticPr fontId="9"/>
  </si>
  <si>
    <t>チェーン店18</t>
    <rPh sb="4" eb="5">
      <t>テン</t>
    </rPh>
    <phoneticPr fontId="9"/>
  </si>
  <si>
    <t>チェーン店19</t>
    <rPh sb="4" eb="5">
      <t>テン</t>
    </rPh>
    <phoneticPr fontId="9"/>
  </si>
  <si>
    <t>チェーン店20</t>
    <rPh sb="4" eb="5">
      <t>テン</t>
    </rPh>
    <phoneticPr fontId="9"/>
  </si>
  <si>
    <t>小売チェーン</t>
    <rPh sb="0" eb="2">
      <t>コウ</t>
    </rPh>
    <phoneticPr fontId="0"/>
  </si>
  <si>
    <t>小売チェーン</t>
    <rPh sb="0" eb="2">
      <t>コウ</t>
    </rPh>
    <phoneticPr fontId="16"/>
  </si>
  <si>
    <t>入力規則</t>
    <rPh sb="0" eb="2">
      <t>ニュウリョク</t>
    </rPh>
    <rPh sb="2" eb="4">
      <t>キソク</t>
    </rPh>
    <phoneticPr fontId="16"/>
  </si>
  <si>
    <t>一般小売店</t>
    <rPh sb="0" eb="2">
      <t>イッパン</t>
    </rPh>
    <rPh sb="2" eb="4">
      <t>コウリ</t>
    </rPh>
    <rPh sb="4" eb="5">
      <t>テン</t>
    </rPh>
    <phoneticPr fontId="16"/>
  </si>
  <si>
    <t>ヘッダー
（全角12文字・半角25文字）</t>
  </si>
  <si>
    <t>ヘッダー
（全角12文字・半角25文字）</t>
    <phoneticPr fontId="0"/>
  </si>
  <si>
    <t>説明文
（全角12文字・半角25文字）</t>
    <rPh sb="0" eb="3">
      <t>セツメイブン</t>
    </rPh>
    <rPh sb="5" eb="7">
      <t>ゼンカク</t>
    </rPh>
    <rPh sb="9" eb="11">
      <t>モジ</t>
    </rPh>
    <rPh sb="12" eb="14">
      <t>ハンカク</t>
    </rPh>
    <rPh sb="16" eb="18">
      <t>モジ</t>
    </rPh>
    <phoneticPr fontId="0"/>
  </si>
  <si>
    <t>トラッキング
テンプレート</t>
    <phoneticPr fontId="16"/>
  </si>
  <si>
    <t>カスタム
パラメータ</t>
    <phoneticPr fontId="16"/>
  </si>
  <si>
    <t>最終リンク先URL
のサフィックス
※Googleのみ</t>
    <rPh sb="0" eb="2">
      <t>サイシュウ</t>
    </rPh>
    <rPh sb="5" eb="6">
      <t>サキ</t>
    </rPh>
    <phoneticPr fontId="16"/>
  </si>
  <si>
    <t>ラベル</t>
    <phoneticPr fontId="16"/>
  </si>
  <si>
    <t>ラベル</t>
    <phoneticPr fontId="16"/>
  </si>
  <si>
    <t>このアカウントの特定の広告表示オプション（自動）を使用しない(8種類を指定)</t>
    <phoneticPr fontId="20"/>
  </si>
  <si>
    <t>入力規則</t>
    <phoneticPr fontId="20"/>
  </si>
  <si>
    <t>入力規則</t>
    <phoneticPr fontId="20"/>
  </si>
  <si>
    <t>Ver.7.0.0</t>
    <phoneticPr fontId="20"/>
  </si>
  <si>
    <t>※ターゲティングごとに調整比率を調整したい場合はこの列に記載をお願いします。</t>
    <rPh sb="11" eb="13">
      <t>チョウセイ</t>
    </rPh>
    <rPh sb="13" eb="15">
      <t>ヒリツ</t>
    </rPh>
    <rPh sb="16" eb="18">
      <t>チョウセイ</t>
    </rPh>
    <rPh sb="21" eb="23">
      <t>バアイ</t>
    </rPh>
    <rPh sb="26" eb="27">
      <t>レツ</t>
    </rPh>
    <rPh sb="28" eb="30">
      <t>キサイ</t>
    </rPh>
    <rPh sb="32" eb="33">
      <t>ネガ</t>
    </rPh>
    <phoneticPr fontId="20"/>
  </si>
  <si>
    <t>ページフィード</t>
    <phoneticPr fontId="20"/>
  </si>
  <si>
    <t>ユーザーの所在地、検索キーワードに含まれる地域、ユーザーが関心を示している地域</t>
  </si>
  <si>
    <t>キャンペーンタイプ</t>
    <phoneticPr fontId="16"/>
  </si>
  <si>
    <t>標準キャンペーン</t>
    <rPh sb="0" eb="2">
      <t>ヒョウジュン</t>
    </rPh>
    <phoneticPr fontId="16"/>
  </si>
  <si>
    <t>動的検索連動型広告キャンペーン</t>
    <rPh sb="0" eb="2">
      <t>ドウテキ</t>
    </rPh>
    <rPh sb="2" eb="4">
      <t>ケンサク</t>
    </rPh>
    <rPh sb="4" eb="6">
      <t>レンドウ</t>
    </rPh>
    <rPh sb="6" eb="7">
      <t>ガタ</t>
    </rPh>
    <rPh sb="7" eb="9">
      <t>コウコク</t>
    </rPh>
    <phoneticPr fontId="16"/>
  </si>
  <si>
    <t>Google:拡張CPC
Yahoo:拡張クリック単価</t>
    <rPh sb="7" eb="9">
      <t>カクチョウ</t>
    </rPh>
    <rPh sb="19" eb="21">
      <t>カクチョウ</t>
    </rPh>
    <rPh sb="25" eb="27">
      <t>タンカ</t>
    </rPh>
    <phoneticPr fontId="16"/>
  </si>
  <si>
    <t>個別クリック単価</t>
    <rPh sb="0" eb="2">
      <t>コベツ</t>
    </rPh>
    <rPh sb="6" eb="8">
      <t>タンカ</t>
    </rPh>
    <phoneticPr fontId="16"/>
  </si>
  <si>
    <t>動的検索広告</t>
    <phoneticPr fontId="14"/>
  </si>
  <si>
    <t>ドメイン
※Googleのみ</t>
    <phoneticPr fontId="20"/>
  </si>
  <si>
    <t>言語
※Googleのみ</t>
    <rPh sb="0" eb="2">
      <t>ゲンゴ</t>
    </rPh>
    <phoneticPr fontId="21"/>
  </si>
  <si>
    <t>ターゲティングソース
※Googleのみ</t>
    <phoneticPr fontId="20"/>
  </si>
  <si>
    <t>自動入札の目標：50円で設定</t>
    <rPh sb="0" eb="2">
      <t>ジドウ</t>
    </rPh>
    <rPh sb="5" eb="7">
      <t>モクヒョウ</t>
    </rPh>
    <phoneticPr fontId="20"/>
  </si>
  <si>
    <t>検索</t>
    <phoneticPr fontId="20"/>
  </si>
  <si>
    <t>有効</t>
    <rPh sb="0" eb="2">
      <t>ユウコウ</t>
    </rPh>
    <phoneticPr fontId="20"/>
  </si>
  <si>
    <t>個別クリック単価</t>
    <phoneticPr fontId="20"/>
  </si>
  <si>
    <t>ウェブサイトを訪れたユーザー</t>
  </si>
  <si>
    <t>YouTube ユーザー</t>
  </si>
  <si>
    <t>ページを訪問したユーザー</t>
    <rPh sb="4" eb="6">
      <t>ホウモン</t>
    </rPh>
    <phoneticPr fontId="16"/>
  </si>
  <si>
    <t>ページを訪問したユーザーのうち別のページも訪問したユーザー</t>
    <rPh sb="4" eb="6">
      <t>ホウモン</t>
    </rPh>
    <rPh sb="15" eb="16">
      <t>ベツ</t>
    </rPh>
    <rPh sb="21" eb="23">
      <t>ホウモン</t>
    </rPh>
    <phoneticPr fontId="16"/>
  </si>
  <si>
    <t>特定のタグがあるページを訪問したユーザー</t>
  </si>
  <si>
    <t>過去 30 日間のユーザーを含める</t>
  </si>
  <si>
    <t>動的広告ターゲット</t>
    <rPh sb="0" eb="2">
      <t>ドウテキ</t>
    </rPh>
    <rPh sb="2" eb="4">
      <t>コウコク</t>
    </rPh>
    <phoneticPr fontId="14"/>
  </si>
  <si>
    <t>ターゲット1</t>
    <phoneticPr fontId="14"/>
  </si>
  <si>
    <t>ターゲット2</t>
    <phoneticPr fontId="14"/>
  </si>
  <si>
    <t>ターゲット3</t>
    <phoneticPr fontId="14"/>
  </si>
  <si>
    <t>ターゲット設定</t>
    <rPh sb="5" eb="7">
      <t>セッテイ</t>
    </rPh>
    <phoneticPr fontId="16"/>
  </si>
  <si>
    <t>ページURLのタイトル</t>
  </si>
  <si>
    <t>ページURLの内容</t>
  </si>
  <si>
    <t>すべてのウェブページ</t>
  </si>
  <si>
    <t>カスタムパラメータ</t>
    <phoneticPr fontId="14"/>
  </si>
  <si>
    <t>Google:検索パートナー
Yahoo:広告掲載方式の指定</t>
    <phoneticPr fontId="20"/>
  </si>
  <si>
    <t>PC｜タブレット｜スマートフォン</t>
  </si>
  <si>
    <t>最適化して配信</t>
    <phoneticPr fontId="20"/>
  </si>
  <si>
    <t>入札単価調整比（%)</t>
  </si>
  <si>
    <t>条件(2)</t>
    <rPh sb="0" eb="2">
      <t>ジョウケン</t>
    </rPh>
    <phoneticPr fontId="16"/>
  </si>
  <si>
    <t>条件(3)</t>
    <rPh sb="0" eb="2">
      <t>ジョウケン</t>
    </rPh>
    <phoneticPr fontId="16"/>
  </si>
  <si>
    <t>組み合わせルール(1)</t>
    <rPh sb="0" eb="1">
      <t>ク</t>
    </rPh>
    <rPh sb="2" eb="3">
      <t>ア</t>
    </rPh>
    <phoneticPr fontId="16"/>
  </si>
  <si>
    <t>ユーザーリストを選択(1)</t>
    <rPh sb="8" eb="10">
      <t>センタク</t>
    </rPh>
    <phoneticPr fontId="14"/>
  </si>
  <si>
    <t>AND(2)</t>
  </si>
  <si>
    <t>組み合わせルール(2)</t>
    <rPh sb="0" eb="1">
      <t>ク</t>
    </rPh>
    <rPh sb="2" eb="3">
      <t>ア</t>
    </rPh>
    <phoneticPr fontId="16"/>
  </si>
  <si>
    <t>ユーザーリストを選択(2)</t>
    <rPh sb="8" eb="10">
      <t>センタク</t>
    </rPh>
    <phoneticPr fontId="14"/>
  </si>
  <si>
    <t>AND(3)</t>
  </si>
  <si>
    <t>組み合わせルール(3)</t>
    <rPh sb="0" eb="1">
      <t>ク</t>
    </rPh>
    <rPh sb="2" eb="3">
      <t>ア</t>
    </rPh>
    <phoneticPr fontId="16"/>
  </si>
  <si>
    <t>ユーザーリストを選択(3)</t>
    <rPh sb="8" eb="10">
      <t>センタク</t>
    </rPh>
    <phoneticPr fontId="14"/>
  </si>
  <si>
    <t>AND(4)</t>
  </si>
  <si>
    <t>組み合わせルール(4)</t>
    <rPh sb="0" eb="1">
      <t>ク</t>
    </rPh>
    <rPh sb="2" eb="3">
      <t>ア</t>
    </rPh>
    <phoneticPr fontId="16"/>
  </si>
  <si>
    <t>ユーザーリストを選択(4)</t>
    <rPh sb="8" eb="10">
      <t>センタク</t>
    </rPh>
    <phoneticPr fontId="14"/>
  </si>
  <si>
    <t>組み合わせルール(5)</t>
    <rPh sb="0" eb="1">
      <t>ク</t>
    </rPh>
    <rPh sb="2" eb="3">
      <t>ア</t>
    </rPh>
    <phoneticPr fontId="16"/>
  </si>
  <si>
    <t>ユーザーリストを選択(5)</t>
    <rPh sb="8" eb="10">
      <t>センタク</t>
    </rPh>
    <phoneticPr fontId="14"/>
  </si>
  <si>
    <t>アカウント</t>
  </si>
  <si>
    <t>（元データ）</t>
    <rPh sb="1" eb="2">
      <t>モト</t>
    </rPh>
    <phoneticPr fontId="14"/>
  </si>
  <si>
    <t>（コピー先）</t>
    <rPh sb="4" eb="5">
      <t>サキ</t>
    </rPh>
    <phoneticPr fontId="14"/>
  </si>
  <si>
    <t>営業フォーマット</t>
    <rPh sb="0" eb="2">
      <t>エイギョウ</t>
    </rPh>
    <phoneticPr fontId="14"/>
  </si>
  <si>
    <t>入稿指示書</t>
    <rPh sb="0" eb="2">
      <t>ニュウコウ</t>
    </rPh>
    <rPh sb="2" eb="5">
      <t>シジショ</t>
    </rPh>
    <phoneticPr fontId="14"/>
  </si>
  <si>
    <t>No.</t>
    <phoneticPr fontId="14"/>
  </si>
  <si>
    <t>シート名</t>
    <rPh sb="3" eb="4">
      <t>メイ</t>
    </rPh>
    <phoneticPr fontId="14"/>
  </si>
  <si>
    <t>見出し
位置</t>
    <rPh sb="0" eb="2">
      <t>ミダ</t>
    </rPh>
    <rPh sb="4" eb="6">
      <t>イチ</t>
    </rPh>
    <phoneticPr fontId="14"/>
  </si>
  <si>
    <t>列</t>
    <rPh sb="0" eb="1">
      <t>レツ</t>
    </rPh>
    <phoneticPr fontId="14"/>
  </si>
  <si>
    <t>行</t>
    <rPh sb="0" eb="1">
      <t>ギョウ</t>
    </rPh>
    <phoneticPr fontId="14"/>
  </si>
  <si>
    <t>処理</t>
    <rPh sb="0" eb="2">
      <t>ショリ</t>
    </rPh>
    <phoneticPr fontId="14"/>
  </si>
  <si>
    <t>エリア</t>
    <phoneticPr fontId="14"/>
  </si>
  <si>
    <t>項目名</t>
    <rPh sb="0" eb="2">
      <t>コウモク</t>
    </rPh>
    <rPh sb="2" eb="3">
      <t>メイ</t>
    </rPh>
    <phoneticPr fontId="14"/>
  </si>
  <si>
    <r>
      <t xml:space="preserve">列
</t>
    </r>
    <r>
      <rPr>
        <b/>
        <sz val="8"/>
        <color rgb="FFFF0000"/>
        <rFont val="メイリオ"/>
        <family val="3"/>
        <charset val="128"/>
      </rPr>
      <t>Google/Yahoo</t>
    </r>
    <rPh sb="0" eb="1">
      <t>レツ</t>
    </rPh>
    <phoneticPr fontId="14"/>
  </si>
  <si>
    <t>編集方法</t>
    <rPh sb="0" eb="2">
      <t>ヘンシュウ</t>
    </rPh>
    <rPh sb="2" eb="4">
      <t>ホウホウ</t>
    </rPh>
    <phoneticPr fontId="14"/>
  </si>
  <si>
    <t>備考</t>
    <phoneticPr fontId="16"/>
  </si>
  <si>
    <t>エリア
※広告表示オプション（関連付け）シートに使用</t>
    <rPh sb="5" eb="9">
      <t>コウコクヒョウジ</t>
    </rPh>
    <rPh sb="15" eb="18">
      <t>カンレンヅ</t>
    </rPh>
    <rPh sb="24" eb="26">
      <t>シヨウ</t>
    </rPh>
    <phoneticPr fontId="14"/>
  </si>
  <si>
    <t>s1</t>
    <phoneticPr fontId="14"/>
  </si>
  <si>
    <t>案件情報シート</t>
    <phoneticPr fontId="14"/>
  </si>
  <si>
    <t>左</t>
    <phoneticPr fontId="14"/>
  </si>
  <si>
    <t>左</t>
    <phoneticPr fontId="14"/>
  </si>
  <si>
    <t>D</t>
    <phoneticPr fontId="14"/>
  </si>
  <si>
    <t>D</t>
    <phoneticPr fontId="14"/>
  </si>
  <si>
    <t>なし</t>
    <phoneticPr fontId="14"/>
  </si>
  <si>
    <t>なし</t>
    <phoneticPr fontId="14"/>
  </si>
  <si>
    <t>▼発注内容</t>
    <rPh sb="1" eb="3">
      <t>ハッチュウ</t>
    </rPh>
    <rPh sb="3" eb="5">
      <t>ナイヨウ</t>
    </rPh>
    <phoneticPr fontId="14"/>
  </si>
  <si>
    <t>s2</t>
    <phoneticPr fontId="14"/>
  </si>
  <si>
    <t>案件情報シート</t>
  </si>
  <si>
    <t>▼発注内容</t>
  </si>
  <si>
    <t>s3</t>
  </si>
  <si>
    <t>左</t>
    <phoneticPr fontId="14"/>
  </si>
  <si>
    <t>D</t>
    <phoneticPr fontId="14"/>
  </si>
  <si>
    <t>なし</t>
    <phoneticPr fontId="14"/>
  </si>
  <si>
    <t>総予算</t>
    <rPh sb="0" eb="3">
      <t>ソウヨサン</t>
    </rPh>
    <phoneticPr fontId="14"/>
  </si>
  <si>
    <t>s4</t>
    <phoneticPr fontId="14"/>
  </si>
  <si>
    <t>計算</t>
    <rPh sb="0" eb="2">
      <t>ケイサン</t>
    </rPh>
    <phoneticPr fontId="14"/>
  </si>
  <si>
    <t>s5</t>
  </si>
  <si>
    <t>s6</t>
  </si>
  <si>
    <t>s7</t>
    <phoneticPr fontId="14"/>
  </si>
  <si>
    <t>上</t>
    <phoneticPr fontId="14"/>
  </si>
  <si>
    <t>C</t>
    <phoneticPr fontId="14"/>
  </si>
  <si>
    <t>可変</t>
    <rPh sb="0" eb="2">
      <t>カヘン</t>
    </rPh>
    <phoneticPr fontId="14"/>
  </si>
  <si>
    <t>条件</t>
    <rPh sb="0" eb="2">
      <t>ジョウケン</t>
    </rPh>
    <phoneticPr fontId="14"/>
  </si>
  <si>
    <t>▼発注ベース（アカウント単位）</t>
    <rPh sb="1" eb="3">
      <t>ハッチュウ</t>
    </rPh>
    <rPh sb="12" eb="14">
      <t>タンイ</t>
    </rPh>
    <phoneticPr fontId="14"/>
  </si>
  <si>
    <t>メニュー設定情報</t>
    <rPh sb="4" eb="6">
      <t>セッテイ</t>
    </rPh>
    <rPh sb="6" eb="8">
      <t>ジョウホウ</t>
    </rPh>
    <phoneticPr fontId="14"/>
  </si>
  <si>
    <t>C/E</t>
    <phoneticPr fontId="14"/>
  </si>
  <si>
    <t>転記なし</t>
    <rPh sb="0" eb="2">
      <t>テンキ</t>
    </rPh>
    <phoneticPr fontId="14"/>
  </si>
  <si>
    <r>
      <t>・Googleの場合：</t>
    </r>
    <r>
      <rPr>
        <sz val="8"/>
        <color rgb="FFFF0000"/>
        <rFont val="メイリオ"/>
        <family val="3"/>
        <charset val="128"/>
      </rPr>
      <t>C:D列の表</t>
    </r>
    <r>
      <rPr>
        <sz val="8"/>
        <color theme="1"/>
        <rFont val="メイリオ"/>
        <family val="3"/>
        <charset val="128"/>
      </rPr>
      <t xml:space="preserve">
・Yahooの場合：</t>
    </r>
    <r>
      <rPr>
        <sz val="8"/>
        <color rgb="FFFF0000"/>
        <rFont val="メイリオ"/>
        <family val="3"/>
        <charset val="128"/>
      </rPr>
      <t>E:F列の表</t>
    </r>
    <r>
      <rPr>
        <sz val="8"/>
        <color theme="1"/>
        <rFont val="メイリオ"/>
        <family val="3"/>
        <charset val="128"/>
      </rPr>
      <t/>
    </r>
    <rPh sb="8" eb="10">
      <t>バアイ</t>
    </rPh>
    <rPh sb="25" eb="27">
      <t>バアイ</t>
    </rPh>
    <rPh sb="31" eb="32">
      <t>レツ</t>
    </rPh>
    <rPh sb="33" eb="34">
      <t>ヒョウ</t>
    </rPh>
    <phoneticPr fontId="14"/>
  </si>
  <si>
    <t>s8</t>
    <phoneticPr fontId="14"/>
  </si>
  <si>
    <t>上</t>
    <phoneticPr fontId="14"/>
  </si>
  <si>
    <t>D</t>
    <phoneticPr fontId="14"/>
  </si>
  <si>
    <t>なし</t>
    <phoneticPr fontId="14"/>
  </si>
  <si>
    <t>配信メニュー</t>
    <rPh sb="0" eb="2">
      <t>ハイシン</t>
    </rPh>
    <phoneticPr fontId="16"/>
  </si>
  <si>
    <t>s9</t>
    <phoneticPr fontId="14"/>
  </si>
  <si>
    <t>案件情報シート</t>
    <phoneticPr fontId="14"/>
  </si>
  <si>
    <t>E</t>
    <phoneticPr fontId="14"/>
  </si>
  <si>
    <t>総額予算
（グロス）</t>
    <rPh sb="0" eb="2">
      <t>ソウガク</t>
    </rPh>
    <rPh sb="2" eb="4">
      <t>ヨサン</t>
    </rPh>
    <phoneticPr fontId="16"/>
  </si>
  <si>
    <t>日予算</t>
    <rPh sb="0" eb="1">
      <t>ヒ</t>
    </rPh>
    <rPh sb="1" eb="3">
      <t>ヨサン</t>
    </rPh>
    <phoneticPr fontId="14"/>
  </si>
  <si>
    <t>D/F</t>
    <phoneticPr fontId="14"/>
  </si>
  <si>
    <r>
      <t xml:space="preserve">・フィー無しの場合：「総額予算」÷1.2÷「配信日数」
・内掛けの場合：「総額予算」×(1-「フィー率」)÷1.2÷「配信日数」
・外掛けの場合：「総額予算」×(1+「フィー率」)÷1.2÷「配信日数」
</t>
    </r>
    <r>
      <rPr>
        <sz val="8"/>
        <color rgb="FFFF0000"/>
        <rFont val="メイリオ"/>
        <family val="3"/>
        <charset val="128"/>
      </rPr>
      <t>書式：通貨型（円マーク、カンマ付）</t>
    </r>
    <rPh sb="4" eb="5">
      <t>ナ</t>
    </rPh>
    <rPh sb="7" eb="9">
      <t>バアイ</t>
    </rPh>
    <rPh sb="11" eb="13">
      <t>ソウガク</t>
    </rPh>
    <rPh sb="13" eb="15">
      <t>ヨサン</t>
    </rPh>
    <rPh sb="22" eb="24">
      <t>ハイシン</t>
    </rPh>
    <rPh sb="24" eb="26">
      <t>ニッスウ</t>
    </rPh>
    <rPh sb="29" eb="30">
      <t>ウチ</t>
    </rPh>
    <rPh sb="30" eb="31">
      <t>ガ</t>
    </rPh>
    <rPh sb="33" eb="35">
      <t>バアイ</t>
    </rPh>
    <rPh sb="37" eb="39">
      <t>ソウガク</t>
    </rPh>
    <rPh sb="39" eb="41">
      <t>ヨサン</t>
    </rPh>
    <rPh sb="50" eb="51">
      <t>リツ</t>
    </rPh>
    <rPh sb="59" eb="61">
      <t>ハイシン</t>
    </rPh>
    <rPh sb="61" eb="63">
      <t>ニッスウ</t>
    </rPh>
    <rPh sb="66" eb="68">
      <t>ソトガ</t>
    </rPh>
    <rPh sb="70" eb="72">
      <t>バアイ</t>
    </rPh>
    <rPh sb="74" eb="76">
      <t>ソウガク</t>
    </rPh>
    <rPh sb="76" eb="78">
      <t>ヨサン</t>
    </rPh>
    <rPh sb="87" eb="88">
      <t>リツ</t>
    </rPh>
    <rPh sb="96" eb="98">
      <t>ハイシン</t>
    </rPh>
    <rPh sb="98" eb="100">
      <t>ニッスウ</t>
    </rPh>
    <phoneticPr fontId="14"/>
  </si>
  <si>
    <t>s10</t>
    <phoneticPr fontId="14"/>
  </si>
  <si>
    <t>F</t>
    <phoneticPr fontId="14"/>
  </si>
  <si>
    <t>転記</t>
    <rPh sb="0" eb="2">
      <t>テンキ</t>
    </rPh>
    <phoneticPr fontId="14"/>
  </si>
  <si>
    <t>開始日</t>
    <rPh sb="0" eb="3">
      <t>カイシビ</t>
    </rPh>
    <phoneticPr fontId="14"/>
  </si>
  <si>
    <t>左</t>
    <phoneticPr fontId="14"/>
  </si>
  <si>
    <t>C/E</t>
    <phoneticPr fontId="14"/>
  </si>
  <si>
    <r>
      <t xml:space="preserve">Yahooであれば </t>
    </r>
    <r>
      <rPr>
        <sz val="8"/>
        <color rgb="FFFF0000"/>
        <rFont val="メイリオ"/>
        <family val="3"/>
        <charset val="128"/>
      </rPr>
      <t>E21
書式：yyyy/mm/dd</t>
    </r>
    <phoneticPr fontId="14"/>
  </si>
  <si>
    <t>s11</t>
  </si>
  <si>
    <t>上</t>
    <phoneticPr fontId="14"/>
  </si>
  <si>
    <t>G</t>
    <phoneticPr fontId="14"/>
  </si>
  <si>
    <t>終了日</t>
    <rPh sb="0" eb="3">
      <t>シュウリョウビ</t>
    </rPh>
    <phoneticPr fontId="14"/>
  </si>
  <si>
    <r>
      <t xml:space="preserve">Yahooであれば </t>
    </r>
    <r>
      <rPr>
        <sz val="8"/>
        <color rgb="FFFF0000"/>
        <rFont val="メイリオ"/>
        <family val="3"/>
        <charset val="128"/>
      </rPr>
      <t>E22
書式：yyyy/mm/dd</t>
    </r>
    <phoneticPr fontId="14"/>
  </si>
  <si>
    <t>s12</t>
  </si>
  <si>
    <t>H</t>
    <phoneticPr fontId="14"/>
  </si>
  <si>
    <t>配信日数</t>
    <rPh sb="0" eb="2">
      <t>ハイシン</t>
    </rPh>
    <rPh sb="2" eb="4">
      <t>ニッスウ</t>
    </rPh>
    <phoneticPr fontId="16"/>
  </si>
  <si>
    <t>s13</t>
  </si>
  <si>
    <t>対象キャンペーン</t>
    <rPh sb="0" eb="2">
      <t>タイショウ</t>
    </rPh>
    <phoneticPr fontId="14"/>
  </si>
  <si>
    <r>
      <t>Google（</t>
    </r>
    <r>
      <rPr>
        <sz val="8"/>
        <color rgb="FFFF0000"/>
        <rFont val="メイリオ"/>
        <family val="3"/>
        <charset val="128"/>
      </rPr>
      <t>C9</t>
    </r>
    <r>
      <rPr>
        <sz val="8"/>
        <color theme="1"/>
        <rFont val="メイリオ"/>
        <family val="3"/>
        <charset val="128"/>
      </rPr>
      <t>）：</t>
    </r>
    <r>
      <rPr>
        <sz val="8"/>
        <color rgb="FFFF0000"/>
        <rFont val="メイリオ"/>
        <family val="3"/>
        <charset val="128"/>
      </rPr>
      <t>C21</t>
    </r>
    <r>
      <rPr>
        <sz val="8"/>
        <color theme="1"/>
        <rFont val="メイリオ"/>
        <family val="3"/>
        <charset val="128"/>
      </rPr>
      <t>の「開始日」を展開、</t>
    </r>
    <r>
      <rPr>
        <sz val="8"/>
        <color rgb="FFFF0000"/>
        <rFont val="メイリオ"/>
        <family val="3"/>
        <charset val="128"/>
      </rPr>
      <t>C10</t>
    </r>
    <r>
      <rPr>
        <sz val="8"/>
        <color theme="1"/>
        <rFont val="メイリオ"/>
        <family val="3"/>
        <charset val="128"/>
      </rPr>
      <t>・</t>
    </r>
    <r>
      <rPr>
        <sz val="8"/>
        <color rgb="FFFF0000"/>
        <rFont val="メイリオ"/>
        <family val="3"/>
        <charset val="128"/>
      </rPr>
      <t>C11</t>
    </r>
    <r>
      <rPr>
        <sz val="8"/>
        <color theme="1"/>
        <rFont val="メイリオ"/>
        <family val="3"/>
        <charset val="128"/>
      </rPr>
      <t>・</t>
    </r>
    <r>
      <rPr>
        <sz val="8"/>
        <color rgb="FFFF0000"/>
        <rFont val="メイリオ"/>
        <family val="3"/>
        <charset val="128"/>
      </rPr>
      <t>C12</t>
    </r>
    <r>
      <rPr>
        <sz val="8"/>
        <color theme="1"/>
        <rFont val="メイリオ"/>
        <family val="3"/>
        <charset val="128"/>
      </rPr>
      <t>・</t>
    </r>
    <r>
      <rPr>
        <sz val="8"/>
        <color rgb="FFFF0000"/>
        <rFont val="メイリオ"/>
        <family val="3"/>
        <charset val="128"/>
      </rPr>
      <t>C13</t>
    </r>
    <r>
      <rPr>
        <sz val="8"/>
        <color theme="1"/>
        <rFont val="メイリオ"/>
        <family val="3"/>
        <charset val="128"/>
      </rPr>
      <t>は空白とする
Yahoo（</t>
    </r>
    <r>
      <rPr>
        <sz val="8"/>
        <color rgb="FFFF0000"/>
        <rFont val="メイリオ"/>
        <family val="3"/>
        <charset val="128"/>
      </rPr>
      <t>E9</t>
    </r>
    <r>
      <rPr>
        <sz val="8"/>
        <color theme="1"/>
        <rFont val="メイリオ"/>
        <family val="3"/>
        <charset val="128"/>
      </rPr>
      <t>）：</t>
    </r>
    <r>
      <rPr>
        <sz val="8"/>
        <color rgb="FFFF0000"/>
        <rFont val="メイリオ"/>
        <family val="3"/>
        <charset val="128"/>
      </rPr>
      <t>E21</t>
    </r>
    <r>
      <rPr>
        <sz val="8"/>
        <color theme="1"/>
        <rFont val="メイリオ"/>
        <family val="3"/>
        <charset val="128"/>
      </rPr>
      <t>の「開始日」を展開、</t>
    </r>
    <r>
      <rPr>
        <sz val="8"/>
        <color rgb="FFFF0000"/>
        <rFont val="メイリオ"/>
        <family val="3"/>
        <charset val="128"/>
      </rPr>
      <t>E10</t>
    </r>
    <r>
      <rPr>
        <sz val="8"/>
        <color theme="1"/>
        <rFont val="メイリオ"/>
        <family val="3"/>
        <charset val="128"/>
      </rPr>
      <t>・</t>
    </r>
    <r>
      <rPr>
        <sz val="8"/>
        <color rgb="FFFF0000"/>
        <rFont val="メイリオ"/>
        <family val="3"/>
        <charset val="128"/>
      </rPr>
      <t>E11</t>
    </r>
    <r>
      <rPr>
        <sz val="8"/>
        <color theme="1"/>
        <rFont val="メイリオ"/>
        <family val="3"/>
        <charset val="128"/>
      </rPr>
      <t>・</t>
    </r>
    <r>
      <rPr>
        <sz val="8"/>
        <color rgb="FFFF0000"/>
        <rFont val="メイリオ"/>
        <family val="3"/>
        <charset val="128"/>
      </rPr>
      <t>E12</t>
    </r>
    <r>
      <rPr>
        <sz val="8"/>
        <color theme="1"/>
        <rFont val="メイリオ"/>
        <family val="3"/>
        <charset val="128"/>
      </rPr>
      <t>・</t>
    </r>
    <r>
      <rPr>
        <sz val="8"/>
        <color rgb="FFFF0000"/>
        <rFont val="メイリオ"/>
        <family val="3"/>
        <charset val="128"/>
      </rPr>
      <t>E13</t>
    </r>
    <r>
      <rPr>
        <sz val="8"/>
        <color theme="1"/>
        <rFont val="メイリオ"/>
        <family val="3"/>
        <charset val="128"/>
      </rPr>
      <t>は空白とする</t>
    </r>
    <rPh sb="16" eb="19">
      <t>カイシビ</t>
    </rPh>
    <rPh sb="21" eb="23">
      <t>テンカイ</t>
    </rPh>
    <rPh sb="40" eb="42">
      <t>クウハク</t>
    </rPh>
    <rPh sb="61" eb="64">
      <t>カイシビ</t>
    </rPh>
    <rPh sb="66" eb="68">
      <t>テンカイ</t>
    </rPh>
    <rPh sb="85" eb="87">
      <t>クウハク</t>
    </rPh>
    <phoneticPr fontId="14"/>
  </si>
  <si>
    <t>Display同様</t>
    <phoneticPr fontId="16"/>
  </si>
  <si>
    <t>s14</t>
  </si>
  <si>
    <t>I</t>
    <phoneticPr fontId="14"/>
  </si>
  <si>
    <t>配信デバイス</t>
    <rPh sb="0" eb="2">
      <t>ハイシン</t>
    </rPh>
    <phoneticPr fontId="16"/>
  </si>
  <si>
    <r>
      <t xml:space="preserve">inputの配信デバイスが「PC・タブレット・スマートフォン」の場合、
「PC｜タブレット｜スマートフォン」が選択、
「PC・タブレット」の場合、「PC｜タブレット」が選択される
</t>
    </r>
    <r>
      <rPr>
        <sz val="8"/>
        <color rgb="FFFF0000"/>
        <rFont val="メイリオ"/>
        <family val="3"/>
        <charset val="128"/>
      </rPr>
      <t>「選択してください」の場合：
・転記先の書式が入力規則の場合：入力規則の一番上の値で編集
・転記先の書式が入力規則で無い場合：ブランクで編集</t>
    </r>
    <rPh sb="6" eb="8">
      <t>ハイシン</t>
    </rPh>
    <rPh sb="32" eb="34">
      <t>バアイ</t>
    </rPh>
    <rPh sb="55" eb="57">
      <t>センタク</t>
    </rPh>
    <rPh sb="70" eb="72">
      <t>バアイ</t>
    </rPh>
    <rPh sb="84" eb="86">
      <t>センタク</t>
    </rPh>
    <phoneticPr fontId="14"/>
  </si>
  <si>
    <t>s15</t>
  </si>
  <si>
    <t>J</t>
    <phoneticPr fontId="14"/>
  </si>
  <si>
    <t>配信エリア</t>
    <rPh sb="0" eb="2">
      <t>ハイシン</t>
    </rPh>
    <phoneticPr fontId="16"/>
  </si>
  <si>
    <t>地域</t>
    <rPh sb="0" eb="2">
      <t>チイキ</t>
    </rPh>
    <phoneticPr fontId="50"/>
  </si>
  <si>
    <t>左</t>
    <phoneticPr fontId="14"/>
  </si>
  <si>
    <t>C/E</t>
    <phoneticPr fontId="14"/>
  </si>
  <si>
    <r>
      <t xml:space="preserve">指定ありの場合、「エリア指定がある場合」を参照
</t>
    </r>
    <r>
      <rPr>
        <sz val="8"/>
        <color rgb="FFFF0000"/>
        <rFont val="メイリオ"/>
        <family val="3"/>
        <charset val="128"/>
      </rPr>
      <t xml:space="preserve">
「選択してください」の場合：
・転記先の書式が入力規則の場合：入力規則の一番上の値で編集
・転記先の書式が入力規則で無い場合：ブランクで編集</t>
    </r>
    <rPh sb="0" eb="2">
      <t>シテイ</t>
    </rPh>
    <rPh sb="5" eb="7">
      <t>バアイ</t>
    </rPh>
    <rPh sb="12" eb="14">
      <t>シテイ</t>
    </rPh>
    <rPh sb="17" eb="19">
      <t>バアイ</t>
    </rPh>
    <rPh sb="21" eb="23">
      <t>サンショウ</t>
    </rPh>
    <phoneticPr fontId="14"/>
  </si>
  <si>
    <t>s16</t>
  </si>
  <si>
    <t>上</t>
    <phoneticPr fontId="14"/>
  </si>
  <si>
    <t>K</t>
    <phoneticPr fontId="14"/>
  </si>
  <si>
    <t>曜日・スケジュール</t>
    <rPh sb="0" eb="2">
      <t>ヨウビ</t>
    </rPh>
    <phoneticPr fontId="16"/>
  </si>
  <si>
    <t>s17</t>
    <phoneticPr fontId="16"/>
  </si>
  <si>
    <t>L</t>
    <phoneticPr fontId="14"/>
  </si>
  <si>
    <t>広告配信方法</t>
    <rPh sb="0" eb="2">
      <t>コウコク</t>
    </rPh>
    <rPh sb="2" eb="4">
      <t>ハイシン</t>
    </rPh>
    <rPh sb="4" eb="6">
      <t>ホウホウ</t>
    </rPh>
    <phoneticPr fontId="16"/>
  </si>
  <si>
    <t>広告配信最適化</t>
    <rPh sb="2" eb="4">
      <t>ハイシン</t>
    </rPh>
    <rPh sb="4" eb="7">
      <t>サイテキカ</t>
    </rPh>
    <phoneticPr fontId="51"/>
  </si>
  <si>
    <r>
      <rPr>
        <strike/>
        <sz val="8"/>
        <color theme="1"/>
        <rFont val="メイリオ"/>
        <family val="3"/>
        <charset val="128"/>
      </rPr>
      <t xml:space="preserve">Googleの場合：コンバージョン重視で最適化
Yahoo!の場合：最適化して配信（コンバージョンが期待できる広告を優先的に配信）
</t>
    </r>
    <r>
      <rPr>
        <sz val="8"/>
        <color theme="1"/>
        <rFont val="メイリオ"/>
        <family val="3"/>
        <charset val="128"/>
      </rPr>
      <t xml:space="preserve">
</t>
    </r>
    <r>
      <rPr>
        <sz val="8"/>
        <color rgb="FFFF0000"/>
        <rFont val="メイリオ"/>
        <family val="3"/>
        <charset val="128"/>
      </rPr>
      <t xml:space="preserve">
</t>
    </r>
    <r>
      <rPr>
        <strike/>
        <sz val="8"/>
        <color rgb="FFFF0000"/>
        <rFont val="メイリオ"/>
        <family val="3"/>
        <charset val="128"/>
      </rPr>
      <t>「選択してください」の場合：
・転記先の書式が入力規則の場合：入力規則の一番上の値で編集
・転記先の書式が入力規則で無い場合：ブランクで編集</t>
    </r>
    <rPh sb="7" eb="9">
      <t>バアイ</t>
    </rPh>
    <rPh sb="17" eb="19">
      <t>ジュウシ</t>
    </rPh>
    <rPh sb="20" eb="23">
      <t>サイテキカ</t>
    </rPh>
    <rPh sb="31" eb="33">
      <t>バアイ</t>
    </rPh>
    <rPh sb="34" eb="37">
      <t>サイテキカ</t>
    </rPh>
    <rPh sb="39" eb="41">
      <t>ハイシン</t>
    </rPh>
    <rPh sb="50" eb="52">
      <t>キタイ</t>
    </rPh>
    <rPh sb="55" eb="57">
      <t>コウコク</t>
    </rPh>
    <rPh sb="58" eb="61">
      <t>ユウセンテキ</t>
    </rPh>
    <rPh sb="62" eb="64">
      <t>ハイシン</t>
    </rPh>
    <phoneticPr fontId="14"/>
  </si>
  <si>
    <t>s18</t>
  </si>
  <si>
    <t>M</t>
    <phoneticPr fontId="14"/>
  </si>
  <si>
    <t>広告配信先</t>
    <rPh sb="0" eb="2">
      <t>コウコク</t>
    </rPh>
    <rPh sb="2" eb="4">
      <t>ハイシン</t>
    </rPh>
    <rPh sb="4" eb="5">
      <t>サキ</t>
    </rPh>
    <phoneticPr fontId="16"/>
  </si>
  <si>
    <t>検索パートナーの有効／無効</t>
    <rPh sb="0" eb="2">
      <t>ケンサク</t>
    </rPh>
    <rPh sb="8" eb="10">
      <t>ユウコウ</t>
    </rPh>
    <rPh sb="11" eb="13">
      <t>ムコウ</t>
    </rPh>
    <phoneticPr fontId="51"/>
  </si>
  <si>
    <t>左</t>
    <phoneticPr fontId="14"/>
  </si>
  <si>
    <r>
      <t xml:space="preserve">・Yahoo.Google検索のみの場合、[無効]を選択。
・検索パートナーなども含むの場合、[有効]を選択。
</t>
    </r>
    <r>
      <rPr>
        <sz val="8"/>
        <color rgb="FFFF0000"/>
        <rFont val="メイリオ"/>
        <family val="3"/>
        <charset val="128"/>
      </rPr>
      <t xml:space="preserve">
「選択してください」の場合：
・転記先の書式が入力規則の場合：入力規則の一番上の値で編集
・転記先の書式が入力規則で無い場合：ブランクで編集</t>
    </r>
    <rPh sb="13" eb="15">
      <t>ケンサク</t>
    </rPh>
    <rPh sb="18" eb="20">
      <t>バアイ</t>
    </rPh>
    <rPh sb="22" eb="24">
      <t>ムコウ</t>
    </rPh>
    <rPh sb="26" eb="28">
      <t>センタク</t>
    </rPh>
    <rPh sb="44" eb="46">
      <t>バアイ</t>
    </rPh>
    <rPh sb="48" eb="50">
      <t>ユウコウ</t>
    </rPh>
    <rPh sb="52" eb="54">
      <t>センタク</t>
    </rPh>
    <phoneticPr fontId="14"/>
  </si>
  <si>
    <t>s19</t>
    <phoneticPr fontId="14"/>
  </si>
  <si>
    <t>N</t>
    <phoneticPr fontId="14"/>
  </si>
  <si>
    <t>KPI</t>
    <phoneticPr fontId="16"/>
  </si>
  <si>
    <t>入札戦略</t>
    <rPh sb="0" eb="2">
      <t>ニュウサツ</t>
    </rPh>
    <rPh sb="2" eb="4">
      <t>センリャク</t>
    </rPh>
    <phoneticPr fontId="14"/>
  </si>
  <si>
    <r>
      <t>Googleの場合：
・クリック数の最大化　⇒　</t>
    </r>
    <r>
      <rPr>
        <sz val="8"/>
        <color rgb="FFFF0000"/>
        <rFont val="メイリオ"/>
        <family val="3"/>
        <charset val="128"/>
      </rPr>
      <t>クリック数最大化</t>
    </r>
    <r>
      <rPr>
        <sz val="8"/>
        <color theme="1"/>
        <rFont val="メイリオ"/>
        <family val="3"/>
        <charset val="128"/>
      </rPr>
      <t xml:space="preserve">
・CVの最大化　⇒　目標とするコンバージョン単価
・収益の最大化　⇒　目標広告費用対効果
・上位表示　⇒　検索ページの目標掲載位置
Yahoo!の場合
・クリック数の最大化　⇒　クリック数の最大化
・CVの最大化　⇒　目標とするコンバージョン単価
・収益の最大化　⇒　広告費用対効果の目標値
・上位表示　⇒　検索結果ページの目標掲載位置
</t>
    </r>
    <r>
      <rPr>
        <sz val="8"/>
        <color rgb="FFFF0000"/>
        <rFont val="メイリオ"/>
        <family val="3"/>
        <charset val="128"/>
      </rPr>
      <t>「選択してください」の場合：
・転記先の書式が入力規則の場合：入力規則の一番上の値で編集
・転記先の書式が入力規則で無い場合：ブランクで編集</t>
    </r>
    <rPh sb="7" eb="9">
      <t>バアイ</t>
    </rPh>
    <rPh sb="107" eb="109">
      <t>バアイ</t>
    </rPh>
    <phoneticPr fontId="14"/>
  </si>
  <si>
    <t>s20</t>
  </si>
  <si>
    <t>O</t>
    <phoneticPr fontId="14"/>
  </si>
  <si>
    <t>具体的なKPI目標数値がある場合※1</t>
  </si>
  <si>
    <t>s21</t>
  </si>
  <si>
    <t>P</t>
    <phoneticPr fontId="14"/>
  </si>
  <si>
    <t>KPIと予算消化の優先度※2</t>
  </si>
  <si>
    <t>s22</t>
  </si>
  <si>
    <t>Q</t>
    <phoneticPr fontId="14"/>
  </si>
  <si>
    <t>CV計測の有無
※あれば記載</t>
  </si>
  <si>
    <t>CVタグ発行</t>
    <rPh sb="4" eb="6">
      <t>ハッコウ</t>
    </rPh>
    <phoneticPr fontId="51"/>
  </si>
  <si>
    <r>
      <t>・有の場合、[要]
・</t>
    </r>
    <r>
      <rPr>
        <sz val="8"/>
        <color rgb="FFFF0000"/>
        <rFont val="メイリオ"/>
        <family val="3"/>
        <charset val="128"/>
      </rPr>
      <t>空白</t>
    </r>
    <r>
      <rPr>
        <sz val="8"/>
        <color theme="1"/>
        <rFont val="メイリオ"/>
        <family val="3"/>
        <charset val="128"/>
      </rPr>
      <t>の場合、[不要]</t>
    </r>
    <rPh sb="1" eb="2">
      <t>アリ</t>
    </rPh>
    <rPh sb="3" eb="5">
      <t>バアイ</t>
    </rPh>
    <rPh sb="7" eb="8">
      <t>ヨウ</t>
    </rPh>
    <rPh sb="11" eb="13">
      <t>クウハク</t>
    </rPh>
    <rPh sb="14" eb="16">
      <t>バアイ</t>
    </rPh>
    <rPh sb="18" eb="20">
      <t>フヨウ</t>
    </rPh>
    <phoneticPr fontId="14"/>
  </si>
  <si>
    <t>s23</t>
  </si>
  <si>
    <t>R</t>
    <phoneticPr fontId="14"/>
  </si>
  <si>
    <t>s24</t>
  </si>
  <si>
    <t>左2</t>
    <phoneticPr fontId="14"/>
  </si>
  <si>
    <t>■確認事項</t>
    <rPh sb="1" eb="3">
      <t>カクニン</t>
    </rPh>
    <rPh sb="3" eb="5">
      <t>ジコウ</t>
    </rPh>
    <phoneticPr fontId="14"/>
  </si>
  <si>
    <t>予算アロケーションの可否</t>
    <rPh sb="0" eb="2">
      <t>ヨサン</t>
    </rPh>
    <rPh sb="10" eb="12">
      <t>カヒ</t>
    </rPh>
    <phoneticPr fontId="14"/>
  </si>
  <si>
    <t>s25</t>
  </si>
  <si>
    <t>エリア指定がある場合</t>
    <rPh sb="3" eb="5">
      <t>シテイ</t>
    </rPh>
    <rPh sb="8" eb="10">
      <t>バアイ</t>
    </rPh>
    <phoneticPr fontId="14"/>
  </si>
  <si>
    <t>s26</t>
  </si>
  <si>
    <t>左2</t>
    <phoneticPr fontId="14"/>
  </si>
  <si>
    <t>E</t>
    <phoneticPr fontId="14"/>
  </si>
  <si>
    <t>ツール使用の有無</t>
    <rPh sb="3" eb="5">
      <t>シヨウ</t>
    </rPh>
    <rPh sb="6" eb="8">
      <t>ウム</t>
    </rPh>
    <phoneticPr fontId="14"/>
  </si>
  <si>
    <t>s27</t>
  </si>
  <si>
    <t>左2</t>
    <phoneticPr fontId="14"/>
  </si>
  <si>
    <t>I</t>
    <phoneticPr fontId="14"/>
  </si>
  <si>
    <t>I</t>
    <phoneticPr fontId="14"/>
  </si>
  <si>
    <t>確認事項</t>
    <rPh sb="0" eb="2">
      <t>カクニン</t>
    </rPh>
    <rPh sb="2" eb="4">
      <t>ジコウ</t>
    </rPh>
    <phoneticPr fontId="14"/>
  </si>
  <si>
    <t>備考</t>
    <rPh sb="0" eb="2">
      <t>ビコウ</t>
    </rPh>
    <phoneticPr fontId="14"/>
  </si>
  <si>
    <t>左</t>
    <phoneticPr fontId="14"/>
  </si>
  <si>
    <t>C/E</t>
    <phoneticPr fontId="14"/>
  </si>
  <si>
    <t>s28</t>
    <phoneticPr fontId="14"/>
  </si>
  <si>
    <t>拡張テキスト</t>
    <rPh sb="0" eb="2">
      <t>カクチョウ</t>
    </rPh>
    <phoneticPr fontId="14"/>
  </si>
  <si>
    <t>上</t>
    <phoneticPr fontId="14"/>
  </si>
  <si>
    <t>A</t>
    <phoneticPr fontId="14"/>
  </si>
  <si>
    <t>■拡張テキスト</t>
  </si>
  <si>
    <t>A</t>
    <phoneticPr fontId="14"/>
  </si>
  <si>
    <t>s29</t>
  </si>
  <si>
    <t>広告ステータス</t>
    <rPh sb="0" eb="2">
      <t>コウコク</t>
    </rPh>
    <phoneticPr fontId="51"/>
  </si>
  <si>
    <t>B</t>
    <phoneticPr fontId="14"/>
  </si>
  <si>
    <t>[オン]で編集</t>
    <rPh sb="5" eb="7">
      <t>ヘンシュウ</t>
    </rPh>
    <phoneticPr fontId="14"/>
  </si>
  <si>
    <t>s30</t>
  </si>
  <si>
    <t>転記</t>
    <rPh sb="0" eb="2">
      <t>テンキ</t>
    </rPh>
    <phoneticPr fontId="20"/>
  </si>
  <si>
    <t>キャンペーン</t>
    <phoneticPr fontId="14"/>
  </si>
  <si>
    <t>C</t>
    <phoneticPr fontId="14"/>
  </si>
  <si>
    <t>『開始日』-『終了日』配信
例：yyyymmdd-yyyymmdd配信</t>
    <rPh sb="14" eb="15">
      <t>レイ</t>
    </rPh>
    <phoneticPr fontId="14"/>
  </si>
  <si>
    <t>s31</t>
  </si>
  <si>
    <t>s32</t>
    <phoneticPr fontId="14"/>
  </si>
  <si>
    <t>広告名
（※Yahooのみ）</t>
    <rPh sb="0" eb="3">
      <t>コウコクメイ</t>
    </rPh>
    <phoneticPr fontId="16"/>
  </si>
  <si>
    <r>
      <t>広告名</t>
    </r>
    <r>
      <rPr>
        <sz val="8"/>
        <color theme="1"/>
        <rFont val="メイリオ"/>
        <family val="3"/>
        <charset val="128"/>
      </rPr>
      <t/>
    </r>
    <phoneticPr fontId="51"/>
  </si>
  <si>
    <t>E</t>
    <phoneticPr fontId="14"/>
  </si>
  <si>
    <t>s33</t>
    <phoneticPr fontId="14"/>
  </si>
  <si>
    <t>C</t>
    <phoneticPr fontId="14"/>
  </si>
  <si>
    <t>タイトル1
(半角30文字）</t>
    <rPh sb="7" eb="9">
      <t>ハンカク</t>
    </rPh>
    <rPh sb="11" eb="13">
      <t>モジ</t>
    </rPh>
    <phoneticPr fontId="14"/>
  </si>
  <si>
    <t>タイトル1</t>
  </si>
  <si>
    <t>F</t>
    <phoneticPr fontId="14"/>
  </si>
  <si>
    <t>s34</t>
    <phoneticPr fontId="14"/>
  </si>
  <si>
    <t>タイトル2
(半角30文字）</t>
  </si>
  <si>
    <t>G</t>
    <phoneticPr fontId="14"/>
  </si>
  <si>
    <t>s35</t>
    <phoneticPr fontId="14"/>
  </si>
  <si>
    <t>説明文
(半角80文字）</t>
    <rPh sb="0" eb="3">
      <t>セツメイブン</t>
    </rPh>
    <phoneticPr fontId="14"/>
  </si>
  <si>
    <t>説明文</t>
    <rPh sb="0" eb="3">
      <t>セツメイブン</t>
    </rPh>
    <phoneticPr fontId="54"/>
  </si>
  <si>
    <t>s36</t>
    <phoneticPr fontId="14"/>
  </si>
  <si>
    <t>最終リンク先URL</t>
    <rPh sb="0" eb="2">
      <t>サイシュウ</t>
    </rPh>
    <rPh sb="5" eb="6">
      <t>サキ</t>
    </rPh>
    <phoneticPr fontId="51"/>
  </si>
  <si>
    <t>Q</t>
    <phoneticPr fontId="14"/>
  </si>
  <si>
    <t>s37</t>
  </si>
  <si>
    <t>G</t>
    <phoneticPr fontId="14"/>
  </si>
  <si>
    <t>モバイル
最終リンク先URL</t>
    <rPh sb="5" eb="7">
      <t>サイシュウ</t>
    </rPh>
    <rPh sb="10" eb="11">
      <t>サキ</t>
    </rPh>
    <phoneticPr fontId="51"/>
  </si>
  <si>
    <t>s38</t>
  </si>
  <si>
    <t>A</t>
    <phoneticPr fontId="14"/>
  </si>
  <si>
    <t>■サイトリンク／クイックリンク</t>
    <phoneticPr fontId="16"/>
  </si>
  <si>
    <t>広告表示オプション（共有）</t>
    <phoneticPr fontId="14"/>
  </si>
  <si>
    <t>媒体</t>
    <rPh sb="0" eb="2">
      <t>バイタイ</t>
    </rPh>
    <phoneticPr fontId="51"/>
  </si>
  <si>
    <t>s39</t>
  </si>
  <si>
    <t>サイトリンクテキスト／
クイックリンクテキスト
（Google：全角12文字以内・半角25文字以内）
（Yahoo：全角12文字以内・半角25文字以内）</t>
    <rPh sb="38" eb="40">
      <t>イナイ</t>
    </rPh>
    <phoneticPr fontId="51"/>
  </si>
  <si>
    <t>B</t>
    <phoneticPr fontId="14"/>
  </si>
  <si>
    <t>s40</t>
  </si>
  <si>
    <t>説明文1
※Googleのみ
（Google：全角17文字以内・半角35文字以内）</t>
    <rPh sb="0" eb="3">
      <t>セツメイブン</t>
    </rPh>
    <rPh sb="23" eb="25">
      <t>ゼンカク</t>
    </rPh>
    <rPh sb="27" eb="29">
      <t>モジ</t>
    </rPh>
    <rPh sb="29" eb="31">
      <t>イナイ</t>
    </rPh>
    <phoneticPr fontId="51"/>
  </si>
  <si>
    <t>Googleのみ転記。Yahoo!は転記されない。</t>
    <rPh sb="8" eb="10">
      <t>テンキ</t>
    </rPh>
    <rPh sb="18" eb="20">
      <t>テンキ</t>
    </rPh>
    <phoneticPr fontId="16"/>
  </si>
  <si>
    <t>s41</t>
  </si>
  <si>
    <t>説明文2
※Googleのみ
（Google：全角17文字以内・半角35文字以内）</t>
    <rPh sb="0" eb="3">
      <t>セツメイブン</t>
    </rPh>
    <phoneticPr fontId="51"/>
  </si>
  <si>
    <t>D</t>
    <phoneticPr fontId="14"/>
  </si>
  <si>
    <t>s42</t>
  </si>
  <si>
    <t>s43</t>
  </si>
  <si>
    <t>s44</t>
  </si>
  <si>
    <t>広告表示オプション（共有）</t>
    <phoneticPr fontId="14"/>
  </si>
  <si>
    <t>備考</t>
    <rPh sb="0" eb="2">
      <t>ビコウ</t>
    </rPh>
    <phoneticPr fontId="20"/>
  </si>
  <si>
    <t>I</t>
    <phoneticPr fontId="20"/>
  </si>
  <si>
    <t>可変</t>
    <rPh sb="0" eb="2">
      <t>カヘン</t>
    </rPh>
    <phoneticPr fontId="20"/>
  </si>
  <si>
    <t>s45</t>
  </si>
  <si>
    <t>広告表示オプション（共有）</t>
    <phoneticPr fontId="14"/>
  </si>
  <si>
    <t>設定対象／粒度</t>
    <rPh sb="0" eb="2">
      <t>セッテイ</t>
    </rPh>
    <rPh sb="2" eb="4">
      <t>タイショウ</t>
    </rPh>
    <rPh sb="5" eb="7">
      <t>リュウド</t>
    </rPh>
    <phoneticPr fontId="51"/>
  </si>
  <si>
    <t>H</t>
    <phoneticPr fontId="14"/>
  </si>
  <si>
    <t>[キャンペーン]で編集・固定値</t>
    <rPh sb="9" eb="11">
      <t>ヘンシュウ</t>
    </rPh>
    <rPh sb="12" eb="15">
      <t>コテイチ</t>
    </rPh>
    <phoneticPr fontId="14"/>
  </si>
  <si>
    <t>s46</t>
  </si>
  <si>
    <t>広告表示オプション（関連付け）</t>
    <phoneticPr fontId="14"/>
  </si>
  <si>
    <t>※媒体別にキーワード分、展開</t>
    <rPh sb="1" eb="3">
      <t>バイタイ</t>
    </rPh>
    <rPh sb="3" eb="4">
      <t>ベツ</t>
    </rPh>
    <rPh sb="10" eb="11">
      <t>ブン</t>
    </rPh>
    <rPh sb="12" eb="14">
      <t>テンカイ</t>
    </rPh>
    <phoneticPr fontId="20"/>
  </si>
  <si>
    <t>s47</t>
  </si>
  <si>
    <t>広告表示オプション（関連付け）</t>
    <phoneticPr fontId="14"/>
  </si>
  <si>
    <t>s48</t>
  </si>
  <si>
    <t>広告グループ</t>
    <rPh sb="0" eb="2">
      <t>コウコク</t>
    </rPh>
    <phoneticPr fontId="51"/>
  </si>
  <si>
    <t>s49</t>
  </si>
  <si>
    <t>s50</t>
  </si>
  <si>
    <t>説明文1
※Googleのみ</t>
    <rPh sb="0" eb="3">
      <t>セツメイブン</t>
    </rPh>
    <phoneticPr fontId="51"/>
  </si>
  <si>
    <t>s51</t>
  </si>
  <si>
    <t>説明文2
※Googleのみ</t>
    <rPh sb="0" eb="3">
      <t>セツメイブン</t>
    </rPh>
    <phoneticPr fontId="51"/>
  </si>
  <si>
    <t>s52</t>
  </si>
  <si>
    <t>s53</t>
  </si>
  <si>
    <t>s54</t>
  </si>
  <si>
    <t>トラッキング
テンプレート</t>
  </si>
  <si>
    <t>s55</t>
  </si>
  <si>
    <t>■コールアウト／補足テキスト</t>
    <rPh sb="8" eb="10">
      <t>ホソク</t>
    </rPh>
    <phoneticPr fontId="16"/>
  </si>
  <si>
    <t>テキスト
（Google：全角12文字以内・半角25文字以内）
（Yahoo：全角12文字以内・半角25文字以内）</t>
  </si>
  <si>
    <t>s56</t>
  </si>
  <si>
    <t>s57</t>
  </si>
  <si>
    <t>s58</t>
  </si>
  <si>
    <t>s59</t>
  </si>
  <si>
    <t xml:space="preserve"> キーワード（指定）</t>
    <phoneticPr fontId="14"/>
  </si>
  <si>
    <t>s60</t>
  </si>
  <si>
    <t xml:space="preserve"> キーワード（指定）</t>
    <phoneticPr fontId="14"/>
  </si>
  <si>
    <t>キーワードステータス</t>
  </si>
  <si>
    <t>[オン]で編集・固定値</t>
    <rPh sb="5" eb="7">
      <t>ヘンシュウ</t>
    </rPh>
    <rPh sb="8" eb="11">
      <t>コテイチ</t>
    </rPh>
    <phoneticPr fontId="14"/>
  </si>
  <si>
    <t>s61</t>
  </si>
  <si>
    <t>s62</t>
  </si>
  <si>
    <t>広告グループ</t>
    <rPh sb="0" eb="2">
      <t>コウコク</t>
    </rPh>
    <phoneticPr fontId="55"/>
  </si>
  <si>
    <t>s63</t>
  </si>
  <si>
    <t>キーワードシート</t>
    <phoneticPr fontId="14"/>
  </si>
  <si>
    <t>■必須キーワード</t>
    <phoneticPr fontId="14"/>
  </si>
  <si>
    <t>必須キーワード
（マス連キーワード、社名、商品・サービス名）</t>
    <rPh sb="0" eb="2">
      <t>ヒッス</t>
    </rPh>
    <rPh sb="11" eb="12">
      <t>レン</t>
    </rPh>
    <rPh sb="18" eb="20">
      <t>シャメイ</t>
    </rPh>
    <rPh sb="21" eb="23">
      <t>ショウヒン</t>
    </rPh>
    <rPh sb="28" eb="29">
      <t>メイ</t>
    </rPh>
    <phoneticPr fontId="14"/>
  </si>
  <si>
    <t>キーワード（指定）</t>
    <phoneticPr fontId="14"/>
  </si>
  <si>
    <t>キーワード</t>
  </si>
  <si>
    <t>s64</t>
  </si>
  <si>
    <t>マッチタイプ</t>
  </si>
  <si>
    <t>[完全一致]で編集・固定値</t>
    <rPh sb="1" eb="3">
      <t>カンゼン</t>
    </rPh>
    <rPh sb="3" eb="5">
      <t>イッチ</t>
    </rPh>
    <rPh sb="7" eb="9">
      <t>ヘンシュウ</t>
    </rPh>
    <rPh sb="10" eb="13">
      <t>コテイチ</t>
    </rPh>
    <phoneticPr fontId="14"/>
  </si>
  <si>
    <t>s65</t>
  </si>
  <si>
    <t>除外キーワード（指定）</t>
    <phoneticPr fontId="14"/>
  </si>
  <si>
    <t>s66</t>
  </si>
  <si>
    <t>s67</t>
  </si>
  <si>
    <t>除外キーワード（指定）</t>
    <phoneticPr fontId="14"/>
  </si>
  <si>
    <t>「メニュー設定情報.対象キャンペーン」と同じ</t>
    <rPh sb="20" eb="21">
      <t>オナ</t>
    </rPh>
    <phoneticPr fontId="14"/>
  </si>
  <si>
    <t>s68</t>
  </si>
  <si>
    <t>■希望除外キーワード</t>
    <phoneticPr fontId="14"/>
  </si>
  <si>
    <t>希望除外キーワード
（競合他社名、競合製品・サービス名、ネガティブワード）</t>
    <rPh sb="0" eb="2">
      <t>キボウ</t>
    </rPh>
    <rPh sb="2" eb="4">
      <t>ジョガイ</t>
    </rPh>
    <rPh sb="11" eb="13">
      <t>キョウゴウ</t>
    </rPh>
    <rPh sb="13" eb="15">
      <t>タシャ</t>
    </rPh>
    <rPh sb="15" eb="16">
      <t>メイ</t>
    </rPh>
    <rPh sb="17" eb="19">
      <t>キョウゴウ</t>
    </rPh>
    <rPh sb="19" eb="21">
      <t>セイヒン</t>
    </rPh>
    <rPh sb="26" eb="27">
      <t>メイ</t>
    </rPh>
    <phoneticPr fontId="14"/>
  </si>
  <si>
    <t>除外キーワード</t>
  </si>
  <si>
    <t>s69</t>
    <phoneticPr fontId="20"/>
  </si>
  <si>
    <t>除外キーワード（指定）</t>
  </si>
  <si>
    <t>上</t>
  </si>
  <si>
    <t>E</t>
  </si>
  <si>
    <t>s70</t>
  </si>
  <si>
    <t>構造化スニペット(Googleのみ) ※設定の際は3つ以上必須／4つ以上推奨</t>
    <phoneticPr fontId="16"/>
  </si>
  <si>
    <t>構造化スニペットラベル</t>
    <rPh sb="0" eb="3">
      <t>コウゾウカ</t>
    </rPh>
    <phoneticPr fontId="20"/>
  </si>
  <si>
    <t>構造化スニペット(Googleのみ) ※設定の際は3つ以上必須／Gorinは4つ以上設定</t>
  </si>
  <si>
    <t>s71</t>
  </si>
  <si>
    <t>構造化スニペットテキスト
（全角12文字・半角25文字）</t>
    <rPh sb="0" eb="3">
      <t>コウゾウカ</t>
    </rPh>
    <rPh sb="14" eb="16">
      <t>ゼンカク</t>
    </rPh>
    <rPh sb="18" eb="20">
      <t>モジ</t>
    </rPh>
    <rPh sb="21" eb="23">
      <t>ハンカク</t>
    </rPh>
    <rPh sb="25" eb="27">
      <t>モジ</t>
    </rPh>
    <phoneticPr fontId="20"/>
  </si>
  <si>
    <t>s72</t>
  </si>
  <si>
    <t>s73</t>
  </si>
  <si>
    <t>拡張テキスト</t>
    <rPh sb="0" eb="2">
      <t>カクチョウ</t>
    </rPh>
    <phoneticPr fontId="20"/>
  </si>
  <si>
    <t>電話番号表示オプション</t>
    <rPh sb="0" eb="4">
      <t>デンワバンゴウ</t>
    </rPh>
    <rPh sb="4" eb="6">
      <t>ヒョウジ</t>
    </rPh>
    <phoneticPr fontId="20"/>
  </si>
  <si>
    <t>電話番号</t>
    <rPh sb="0" eb="4">
      <t>デンワバンゴウ</t>
    </rPh>
    <phoneticPr fontId="20"/>
  </si>
  <si>
    <t>電話番号表示オプション</t>
  </si>
  <si>
    <t>s74</t>
  </si>
  <si>
    <t>価格表示オプション(Googleのみ)</t>
  </si>
  <si>
    <t>言語</t>
    <rPh sb="0" eb="2">
      <t>ゲンゴ</t>
    </rPh>
    <phoneticPr fontId="17"/>
  </si>
  <si>
    <t>広告表示オプション（共有）</t>
    <phoneticPr fontId="14"/>
  </si>
  <si>
    <t>上</t>
    <phoneticPr fontId="14"/>
  </si>
  <si>
    <t>B</t>
    <phoneticPr fontId="14"/>
  </si>
  <si>
    <t>s75</t>
  </si>
  <si>
    <t>タイプ</t>
  </si>
  <si>
    <t>s76</t>
  </si>
  <si>
    <t>通貨</t>
    <rPh sb="0" eb="2">
      <t>ツウカ</t>
    </rPh>
    <phoneticPr fontId="17"/>
  </si>
  <si>
    <t>広告表示オプション（共有）</t>
    <phoneticPr fontId="14"/>
  </si>
  <si>
    <t>上</t>
    <phoneticPr fontId="14"/>
  </si>
  <si>
    <t>D</t>
    <phoneticPr fontId="20"/>
  </si>
  <si>
    <t>s77</t>
  </si>
  <si>
    <t>D</t>
    <phoneticPr fontId="20"/>
  </si>
  <si>
    <t>価格修飾子</t>
    <rPh sb="0" eb="2">
      <t>カカク</t>
    </rPh>
    <rPh sb="2" eb="4">
      <t>シュウショク</t>
    </rPh>
    <rPh sb="4" eb="5">
      <t>シ</t>
    </rPh>
    <phoneticPr fontId="17"/>
  </si>
  <si>
    <t>s78</t>
  </si>
  <si>
    <t>E</t>
    <phoneticPr fontId="20"/>
  </si>
  <si>
    <t>ヘッダー</t>
  </si>
  <si>
    <t>F</t>
  </si>
  <si>
    <t>s79</t>
  </si>
  <si>
    <t>F</t>
    <phoneticPr fontId="20"/>
  </si>
  <si>
    <t>広告文</t>
    <rPh sb="0" eb="3">
      <t>コウコクブン</t>
    </rPh>
    <phoneticPr fontId="17"/>
  </si>
  <si>
    <t>G</t>
  </si>
  <si>
    <t>s80</t>
  </si>
  <si>
    <t>G</t>
    <phoneticPr fontId="20"/>
  </si>
  <si>
    <t>価格</t>
    <rPh sb="0" eb="2">
      <t>カカク</t>
    </rPh>
    <phoneticPr fontId="17"/>
  </si>
  <si>
    <t>H</t>
  </si>
  <si>
    <t>s81</t>
  </si>
  <si>
    <t>H</t>
    <phoneticPr fontId="20"/>
  </si>
  <si>
    <t>ユニット</t>
  </si>
  <si>
    <t>I</t>
  </si>
  <si>
    <t>s82</t>
  </si>
  <si>
    <t>I</t>
    <phoneticPr fontId="20"/>
  </si>
  <si>
    <t>最終ページURL</t>
    <rPh sb="0" eb="2">
      <t>サイシュウ</t>
    </rPh>
    <phoneticPr fontId="17"/>
  </si>
  <si>
    <t>J</t>
    <phoneticPr fontId="20"/>
  </si>
  <si>
    <t>s83</t>
  </si>
  <si>
    <t>s84</t>
  </si>
  <si>
    <t>メッセージ表示オプション(Googleのみ)</t>
    <rPh sb="5" eb="7">
      <t>ヒョウジ</t>
    </rPh>
    <phoneticPr fontId="16"/>
  </si>
  <si>
    <t>A</t>
    <phoneticPr fontId="20"/>
  </si>
  <si>
    <t>s85</t>
  </si>
  <si>
    <t>B</t>
    <phoneticPr fontId="20"/>
  </si>
  <si>
    <t>s86</t>
  </si>
  <si>
    <t>会社名
（全角12文字・半角25文字）</t>
    <rPh sb="0" eb="3">
      <t>カイシャメイ</t>
    </rPh>
    <phoneticPr fontId="17"/>
  </si>
  <si>
    <t>C</t>
    <phoneticPr fontId="20"/>
  </si>
  <si>
    <t>s87</t>
  </si>
  <si>
    <t>メッセージテキスト
（全角50文字・半角100文字）</t>
  </si>
  <si>
    <t>D</t>
    <phoneticPr fontId="20"/>
  </si>
  <si>
    <t>s88</t>
  </si>
  <si>
    <t>s89</t>
  </si>
  <si>
    <t>住所表示オプション(Googleのみ)</t>
    <rPh sb="0" eb="2">
      <t>ジュウショ</t>
    </rPh>
    <rPh sb="2" eb="4">
      <t>ヒョウジ</t>
    </rPh>
    <phoneticPr fontId="16"/>
  </si>
  <si>
    <t>Google マイビジネス アカウント</t>
  </si>
  <si>
    <t>住所表示オプション(Googleのみ)</t>
  </si>
  <si>
    <t>s90</t>
  </si>
  <si>
    <t>アプリリンク表示オプション(Googleのみ)</t>
    <rPh sb="6" eb="8">
      <t>ヒョウジ</t>
    </rPh>
    <phoneticPr fontId="16"/>
  </si>
  <si>
    <t>s91</t>
  </si>
  <si>
    <t>アプリ名</t>
    <rPh sb="3" eb="4">
      <t>メイ</t>
    </rPh>
    <phoneticPr fontId="6"/>
  </si>
  <si>
    <t>s92</t>
  </si>
  <si>
    <t>C</t>
    <phoneticPr fontId="16"/>
  </si>
  <si>
    <t>s93</t>
  </si>
  <si>
    <t>s94</t>
  </si>
  <si>
    <t>s95</t>
  </si>
  <si>
    <t>レビュー表示オプション(Googleのみ)</t>
  </si>
  <si>
    <t>レビューテキスト
（ソースとあわせて67文字）</t>
  </si>
  <si>
    <t>s96</t>
  </si>
  <si>
    <t>ソース
（レビューテキストとあわせて67文字）</t>
  </si>
  <si>
    <t>s97</t>
  </si>
  <si>
    <t>ソースURL</t>
  </si>
  <si>
    <t>s98</t>
  </si>
  <si>
    <t>D</t>
    <phoneticPr fontId="16"/>
  </si>
  <si>
    <t>レポート形式</t>
    <rPh sb="4" eb="6">
      <t>ケイシキ</t>
    </rPh>
    <phoneticPr fontId="17"/>
  </si>
  <si>
    <t>s99</t>
  </si>
  <si>
    <t>s100</t>
  </si>
  <si>
    <t>A</t>
  </si>
  <si>
    <t>s101</t>
  </si>
  <si>
    <t>B</t>
  </si>
  <si>
    <t>s102</t>
  </si>
  <si>
    <t>C</t>
  </si>
  <si>
    <t>s103</t>
  </si>
  <si>
    <t>プロモーションの種類</t>
    <rPh sb="8" eb="10">
      <t>シュルイ</t>
    </rPh>
    <phoneticPr fontId="21"/>
  </si>
  <si>
    <t>D</t>
  </si>
  <si>
    <t>s104</t>
  </si>
  <si>
    <t>割引額 or 割引率</t>
    <rPh sb="0" eb="3">
      <t>ワリビキガク</t>
    </rPh>
    <phoneticPr fontId="21"/>
  </si>
  <si>
    <t>s105</t>
  </si>
  <si>
    <t>アイテム</t>
  </si>
  <si>
    <t>s106</t>
  </si>
  <si>
    <t>s107</t>
  </si>
  <si>
    <t>プロモーションの詳細</t>
    <rPh sb="8" eb="10">
      <t>ショウサイ</t>
    </rPh>
    <phoneticPr fontId="17"/>
  </si>
  <si>
    <t>s108</t>
  </si>
  <si>
    <t>次の金額以上の注文 or プロモーションコード</t>
    <rPh sb="0" eb="1">
      <t>ツギ</t>
    </rPh>
    <rPh sb="2" eb="4">
      <t>キンガク</t>
    </rPh>
    <rPh sb="4" eb="6">
      <t>イジョウ</t>
    </rPh>
    <rPh sb="7" eb="9">
      <t>チュウモン</t>
    </rPh>
    <phoneticPr fontId="17"/>
  </si>
  <si>
    <t>s109</t>
  </si>
  <si>
    <t>J</t>
    <phoneticPr fontId="14"/>
  </si>
  <si>
    <t>プロモーションの開始日</t>
    <rPh sb="8" eb="11">
      <t>カイシビ</t>
    </rPh>
    <phoneticPr fontId="17"/>
  </si>
  <si>
    <t>J</t>
  </si>
  <si>
    <t>s110</t>
  </si>
  <si>
    <t>K</t>
    <phoneticPr fontId="14"/>
  </si>
  <si>
    <t>プロモーションの終了日</t>
    <rPh sb="8" eb="11">
      <t>シュウリョウビ</t>
    </rPh>
    <phoneticPr fontId="17"/>
  </si>
  <si>
    <t>K</t>
  </si>
  <si>
    <t>s111</t>
  </si>
  <si>
    <t>s112</t>
  </si>
  <si>
    <t>構造化スニペット(Googleのみ) ※設定の際は3つ以上必須／4つ以上推奨</t>
    <rPh sb="0" eb="3">
      <t>コウゾウカ</t>
    </rPh>
    <rPh sb="20" eb="22">
      <t>セッテイ</t>
    </rPh>
    <rPh sb="23" eb="24">
      <t>サイ</t>
    </rPh>
    <rPh sb="27" eb="29">
      <t>イジョウ</t>
    </rPh>
    <rPh sb="29" eb="31">
      <t>ヒッス</t>
    </rPh>
    <rPh sb="34" eb="36">
      <t>イジョウ</t>
    </rPh>
    <rPh sb="36" eb="38">
      <t>スイショウ</t>
    </rPh>
    <phoneticPr fontId="16"/>
  </si>
  <si>
    <t>K</t>
    <phoneticPr fontId="20"/>
  </si>
  <si>
    <t>構造化スニペット※Googleのみ</t>
    <rPh sb="0" eb="3">
      <t>コウゾウカ</t>
    </rPh>
    <phoneticPr fontId="14"/>
  </si>
  <si>
    <t>s113</t>
  </si>
  <si>
    <t>s114</t>
  </si>
  <si>
    <t>M</t>
    <phoneticPr fontId="20"/>
  </si>
  <si>
    <t>s115</t>
  </si>
  <si>
    <t>広告表示オプション（関連付け）</t>
    <phoneticPr fontId="14"/>
  </si>
  <si>
    <t>S</t>
    <phoneticPr fontId="16"/>
  </si>
  <si>
    <t>価格表示オプション※Googleのみ</t>
    <rPh sb="0" eb="2">
      <t>カカク</t>
    </rPh>
    <rPh sb="2" eb="4">
      <t>ヒョウジ</t>
    </rPh>
    <phoneticPr fontId="6"/>
  </si>
  <si>
    <t>s116</t>
  </si>
  <si>
    <t>T</t>
    <phoneticPr fontId="16"/>
  </si>
  <si>
    <t>s117</t>
  </si>
  <si>
    <t>広告表示オプション（関連付け）</t>
    <phoneticPr fontId="14"/>
  </si>
  <si>
    <t>U</t>
    <phoneticPr fontId="16"/>
  </si>
  <si>
    <t>s118</t>
  </si>
  <si>
    <t>V</t>
    <phoneticPr fontId="16"/>
  </si>
  <si>
    <t>s119</t>
  </si>
  <si>
    <t>W</t>
    <phoneticPr fontId="16"/>
  </si>
  <si>
    <t>s120</t>
  </si>
  <si>
    <t>X</t>
    <phoneticPr fontId="16"/>
  </si>
  <si>
    <t>s121</t>
  </si>
  <si>
    <t>Y</t>
    <phoneticPr fontId="16"/>
  </si>
  <si>
    <t>s122</t>
  </si>
  <si>
    <t>Z</t>
    <phoneticPr fontId="16"/>
  </si>
  <si>
    <t>s123</t>
  </si>
  <si>
    <t>AA</t>
    <phoneticPr fontId="16"/>
  </si>
  <si>
    <t>s124</t>
  </si>
  <si>
    <t>AC</t>
    <phoneticPr fontId="16"/>
  </si>
  <si>
    <t>メッセージ表示オプション※Googleのみ</t>
  </si>
  <si>
    <t>s125</t>
  </si>
  <si>
    <t>AD</t>
    <phoneticPr fontId="16"/>
  </si>
  <si>
    <t>s126</t>
  </si>
  <si>
    <t>AE</t>
    <phoneticPr fontId="16"/>
  </si>
  <si>
    <t>s127</t>
  </si>
  <si>
    <t>AF</t>
    <phoneticPr fontId="16"/>
  </si>
  <si>
    <t>s128</t>
  </si>
  <si>
    <t>AG</t>
    <phoneticPr fontId="16"/>
  </si>
  <si>
    <t>s129</t>
  </si>
  <si>
    <t>AH</t>
    <phoneticPr fontId="16"/>
  </si>
  <si>
    <t>s130</t>
  </si>
  <si>
    <t>AI</t>
    <phoneticPr fontId="16"/>
  </si>
  <si>
    <t>s131</t>
  </si>
  <si>
    <t>AJ</t>
    <phoneticPr fontId="16"/>
  </si>
  <si>
    <t>s132</t>
  </si>
  <si>
    <t>レビューテキスト
（ソースとあわせて67文字）</t>
    <phoneticPr fontId="16"/>
  </si>
  <si>
    <t>AK</t>
    <phoneticPr fontId="16"/>
  </si>
  <si>
    <t>s133</t>
  </si>
  <si>
    <t>ソース
（レビューテキストとあわせて67文字）</t>
    <phoneticPr fontId="16"/>
  </si>
  <si>
    <t>AL</t>
    <phoneticPr fontId="16"/>
  </si>
  <si>
    <t>s134</t>
  </si>
  <si>
    <t>AM</t>
    <phoneticPr fontId="16"/>
  </si>
  <si>
    <t>s135</t>
  </si>
  <si>
    <t>AN</t>
    <phoneticPr fontId="16"/>
  </si>
  <si>
    <t>s136</t>
  </si>
  <si>
    <t>AO</t>
    <phoneticPr fontId="16"/>
  </si>
  <si>
    <t>プロモーション表示オプション※Googleのみ</t>
  </si>
  <si>
    <t>s137</t>
  </si>
  <si>
    <t>AP</t>
    <phoneticPr fontId="16"/>
  </si>
  <si>
    <t>s138</t>
  </si>
  <si>
    <t>AQ</t>
    <phoneticPr fontId="16"/>
  </si>
  <si>
    <t>s139</t>
  </si>
  <si>
    <t>AR</t>
    <phoneticPr fontId="16"/>
  </si>
  <si>
    <t>s140</t>
  </si>
  <si>
    <t>AS</t>
    <phoneticPr fontId="16"/>
  </si>
  <si>
    <t>s141</t>
  </si>
  <si>
    <t>AT</t>
    <phoneticPr fontId="16"/>
  </si>
  <si>
    <t>s142</t>
  </si>
  <si>
    <t>AU</t>
    <phoneticPr fontId="16"/>
  </si>
  <si>
    <t>s143</t>
  </si>
  <si>
    <t>AV</t>
    <phoneticPr fontId="16"/>
  </si>
  <si>
    <t>s144</t>
  </si>
  <si>
    <t>AW</t>
    <phoneticPr fontId="16"/>
  </si>
  <si>
    <t>s145</t>
  </si>
  <si>
    <t>AX</t>
    <phoneticPr fontId="16"/>
  </si>
  <si>
    <t>s146</t>
  </si>
  <si>
    <t>プロモーション表示オプション(Googleのみ)</t>
    <phoneticPr fontId="16"/>
  </si>
  <si>
    <t>AY</t>
    <phoneticPr fontId="16"/>
  </si>
  <si>
    <t>s147</t>
  </si>
  <si>
    <t>キーワード（掛け合わせ）</t>
    <phoneticPr fontId="16"/>
  </si>
  <si>
    <t>上</t>
    <rPh sb="0" eb="1">
      <t>ウエ</t>
    </rPh>
    <phoneticPr fontId="16"/>
  </si>
  <si>
    <t>A</t>
    <phoneticPr fontId="16"/>
  </si>
  <si>
    <t>単体キーワード</t>
    <phoneticPr fontId="16"/>
  </si>
  <si>
    <t>No.</t>
    <phoneticPr fontId="16"/>
  </si>
  <si>
    <t>キーワード（掛け合わせ）</t>
    <phoneticPr fontId="16"/>
  </si>
  <si>
    <t>単体キーワード</t>
  </si>
  <si>
    <t>s148</t>
  </si>
  <si>
    <t>C</t>
    <phoneticPr fontId="16"/>
  </si>
  <si>
    <t>s149</t>
  </si>
  <si>
    <t>D</t>
    <phoneticPr fontId="16"/>
  </si>
  <si>
    <t>s150</t>
  </si>
  <si>
    <t>E</t>
    <phoneticPr fontId="16"/>
  </si>
  <si>
    <t>s151</t>
  </si>
  <si>
    <t>F</t>
    <phoneticPr fontId="16"/>
  </si>
  <si>
    <t>フ</t>
  </si>
  <si>
    <t>s152</t>
  </si>
  <si>
    <t>G</t>
    <phoneticPr fontId="16"/>
  </si>
  <si>
    <t>キーワード（掛け合わせ）</t>
    <phoneticPr fontId="16"/>
  </si>
  <si>
    <t>s153</t>
  </si>
  <si>
    <t>J</t>
    <phoneticPr fontId="16"/>
  </si>
  <si>
    <t>掛け合わせキーワード</t>
    <phoneticPr fontId="16"/>
  </si>
  <si>
    <t>No.①</t>
  </si>
  <si>
    <t>掛け合わせキーワード</t>
  </si>
  <si>
    <t>s154</t>
  </si>
  <si>
    <t>L</t>
    <phoneticPr fontId="16"/>
  </si>
  <si>
    <t>No.②</t>
  </si>
  <si>
    <t>s155</t>
  </si>
  <si>
    <t>N</t>
    <phoneticPr fontId="16"/>
  </si>
  <si>
    <t>No.③</t>
  </si>
  <si>
    <t>s156</t>
  </si>
  <si>
    <t>T</t>
    <phoneticPr fontId="16"/>
  </si>
  <si>
    <t>s157</t>
  </si>
  <si>
    <t>U</t>
    <phoneticPr fontId="16"/>
  </si>
  <si>
    <t>s158</t>
  </si>
  <si>
    <t>V</t>
    <phoneticPr fontId="16"/>
  </si>
  <si>
    <t>s159</t>
  </si>
  <si>
    <t>W</t>
    <phoneticPr fontId="16"/>
  </si>
  <si>
    <t>s160</t>
  </si>
  <si>
    <t>X</t>
    <phoneticPr fontId="16"/>
  </si>
  <si>
    <t>s161</t>
  </si>
  <si>
    <t>左</t>
    <rPh sb="0" eb="1">
      <t>ヒダリ</t>
    </rPh>
    <phoneticPr fontId="16"/>
  </si>
  <si>
    <t>AA</t>
    <phoneticPr fontId="14"/>
  </si>
  <si>
    <t>カテゴリNo.</t>
  </si>
  <si>
    <t>列が増える可能性があり。</t>
    <rPh sb="0" eb="1">
      <t>レツ</t>
    </rPh>
    <rPh sb="2" eb="3">
      <t>フ</t>
    </rPh>
    <rPh sb="5" eb="8">
      <t>カノウセイ</t>
    </rPh>
    <phoneticPr fontId="16"/>
  </si>
  <si>
    <t>s162</t>
  </si>
  <si>
    <t>キーワード（掛け合わせ）</t>
    <phoneticPr fontId="16"/>
  </si>
  <si>
    <t>9以降</t>
    <rPh sb="1" eb="3">
      <t>イコウ</t>
    </rPh>
    <phoneticPr fontId="14"/>
  </si>
  <si>
    <t>キーワードnn</t>
    <phoneticPr fontId="16"/>
  </si>
  <si>
    <t>nn:1~100
列が増える可能性があり。</t>
    <phoneticPr fontId="16"/>
  </si>
  <si>
    <t>地域設定ID変換(Google)</t>
    <rPh sb="0" eb="2">
      <t>チイキ</t>
    </rPh>
    <rPh sb="2" eb="4">
      <t>セッテイ</t>
    </rPh>
    <rPh sb="6" eb="8">
      <t>ヘンカン</t>
    </rPh>
    <phoneticPr fontId="20"/>
  </si>
  <si>
    <t>#</t>
    <phoneticPr fontId="20"/>
  </si>
  <si>
    <t>都道府県</t>
    <rPh sb="0" eb="4">
      <t>トドウフケン</t>
    </rPh>
    <phoneticPr fontId="20"/>
  </si>
  <si>
    <t>ID</t>
    <phoneticPr fontId="20"/>
  </si>
  <si>
    <t>北海道</t>
    <rPh sb="0" eb="3">
      <t>ホッカイドウ</t>
    </rPh>
    <phoneticPr fontId="20"/>
  </si>
  <si>
    <t>青森県</t>
    <rPh sb="0" eb="3">
      <t>アオモリケン</t>
    </rPh>
    <phoneticPr fontId="20"/>
  </si>
  <si>
    <t>岩手県</t>
    <rPh sb="0" eb="3">
      <t>イワテケン</t>
    </rPh>
    <phoneticPr fontId="20"/>
  </si>
  <si>
    <t>宮城県</t>
    <rPh sb="0" eb="3">
      <t>ミヤギケン</t>
    </rPh>
    <phoneticPr fontId="20"/>
  </si>
  <si>
    <t>秋田県</t>
    <rPh sb="0" eb="3">
      <t>アキタケン</t>
    </rPh>
    <phoneticPr fontId="20"/>
  </si>
  <si>
    <t>山形県</t>
    <rPh sb="0" eb="3">
      <t>ヤマガタケン</t>
    </rPh>
    <phoneticPr fontId="20"/>
  </si>
  <si>
    <t>福島県</t>
    <rPh sb="0" eb="3">
      <t>フクシマケン</t>
    </rPh>
    <phoneticPr fontId="20"/>
  </si>
  <si>
    <t>茨城県</t>
    <rPh sb="0" eb="3">
      <t>イバラキケン</t>
    </rPh>
    <phoneticPr fontId="20"/>
  </si>
  <si>
    <t>栃木県</t>
    <rPh sb="0" eb="3">
      <t>トチギケン</t>
    </rPh>
    <phoneticPr fontId="20"/>
  </si>
  <si>
    <t>群馬県</t>
    <rPh sb="0" eb="3">
      <t>グンマケン</t>
    </rPh>
    <phoneticPr fontId="20"/>
  </si>
  <si>
    <t>埼玉県</t>
    <rPh sb="0" eb="3">
      <t>サイタマケン</t>
    </rPh>
    <phoneticPr fontId="20"/>
  </si>
  <si>
    <t>千葉県</t>
    <rPh sb="0" eb="3">
      <t>チバケン</t>
    </rPh>
    <phoneticPr fontId="20"/>
  </si>
  <si>
    <t>東京都</t>
    <rPh sb="0" eb="3">
      <t>トウキョウト</t>
    </rPh>
    <phoneticPr fontId="20"/>
  </si>
  <si>
    <t>神奈川県</t>
    <rPh sb="0" eb="4">
      <t>カナガワケン</t>
    </rPh>
    <phoneticPr fontId="20"/>
  </si>
  <si>
    <t>新潟県</t>
    <rPh sb="0" eb="3">
      <t>ニイガタケン</t>
    </rPh>
    <phoneticPr fontId="20"/>
  </si>
  <si>
    <t>富山県</t>
    <rPh sb="0" eb="3">
      <t>トヤマケン</t>
    </rPh>
    <phoneticPr fontId="20"/>
  </si>
  <si>
    <t>石川県</t>
    <rPh sb="0" eb="3">
      <t>イシカワケン</t>
    </rPh>
    <phoneticPr fontId="20"/>
  </si>
  <si>
    <t>福井県</t>
    <rPh sb="0" eb="3">
      <t>フクイケン</t>
    </rPh>
    <phoneticPr fontId="20"/>
  </si>
  <si>
    <t>山梨県</t>
    <rPh sb="0" eb="2">
      <t>ヤマナシ</t>
    </rPh>
    <rPh sb="2" eb="3">
      <t>ケン</t>
    </rPh>
    <phoneticPr fontId="20"/>
  </si>
  <si>
    <t>長野県</t>
    <rPh sb="0" eb="3">
      <t>ナガノケン</t>
    </rPh>
    <phoneticPr fontId="20"/>
  </si>
  <si>
    <t>岐阜県</t>
    <rPh sb="0" eb="3">
      <t>ギフケン</t>
    </rPh>
    <phoneticPr fontId="20"/>
  </si>
  <si>
    <t>静岡県</t>
    <rPh sb="0" eb="3">
      <t>シズオカケン</t>
    </rPh>
    <phoneticPr fontId="20"/>
  </si>
  <si>
    <t>愛知県</t>
    <rPh sb="0" eb="3">
      <t>アイチケン</t>
    </rPh>
    <phoneticPr fontId="20"/>
  </si>
  <si>
    <t>三重県</t>
    <rPh sb="0" eb="3">
      <t>ミエケン</t>
    </rPh>
    <phoneticPr fontId="20"/>
  </si>
  <si>
    <t>滋賀県</t>
    <rPh sb="0" eb="3">
      <t>シガケン</t>
    </rPh>
    <phoneticPr fontId="20"/>
  </si>
  <si>
    <t>京都府</t>
    <rPh sb="0" eb="3">
      <t>キョウトフ</t>
    </rPh>
    <phoneticPr fontId="20"/>
  </si>
  <si>
    <t>大阪府</t>
    <rPh sb="0" eb="3">
      <t>オオサカフ</t>
    </rPh>
    <phoneticPr fontId="20"/>
  </si>
  <si>
    <t>兵庫県</t>
    <rPh sb="0" eb="3">
      <t>ヒョウゴケン</t>
    </rPh>
    <phoneticPr fontId="20"/>
  </si>
  <si>
    <t>奈良県</t>
    <rPh sb="0" eb="3">
      <t>ナラケン</t>
    </rPh>
    <phoneticPr fontId="20"/>
  </si>
  <si>
    <t>和歌山県</t>
    <rPh sb="0" eb="4">
      <t>ワカヤマケン</t>
    </rPh>
    <phoneticPr fontId="20"/>
  </si>
  <si>
    <t>鳥取県</t>
    <rPh sb="0" eb="2">
      <t>トットリ</t>
    </rPh>
    <rPh sb="2" eb="3">
      <t>ケン</t>
    </rPh>
    <phoneticPr fontId="20"/>
  </si>
  <si>
    <t>島根県</t>
    <rPh sb="0" eb="3">
      <t>シマネケン</t>
    </rPh>
    <phoneticPr fontId="20"/>
  </si>
  <si>
    <t>岡山県</t>
    <rPh sb="0" eb="3">
      <t>オカヤマケン</t>
    </rPh>
    <phoneticPr fontId="20"/>
  </si>
  <si>
    <t>広島県</t>
    <rPh sb="0" eb="3">
      <t>ヒロシマケン</t>
    </rPh>
    <phoneticPr fontId="20"/>
  </si>
  <si>
    <t>山口県</t>
    <rPh sb="0" eb="3">
      <t>ヤマグチケン</t>
    </rPh>
    <phoneticPr fontId="20"/>
  </si>
  <si>
    <t>徳島県</t>
    <rPh sb="0" eb="2">
      <t>トクシマ</t>
    </rPh>
    <rPh sb="2" eb="3">
      <t>ケン</t>
    </rPh>
    <phoneticPr fontId="20"/>
  </si>
  <si>
    <t>香川県</t>
    <rPh sb="0" eb="3">
      <t>カガワケン</t>
    </rPh>
    <phoneticPr fontId="20"/>
  </si>
  <si>
    <t>愛媛県</t>
    <rPh sb="0" eb="3">
      <t>エヒメケン</t>
    </rPh>
    <phoneticPr fontId="20"/>
  </si>
  <si>
    <t>高知県</t>
    <rPh sb="0" eb="3">
      <t>コウチケン</t>
    </rPh>
    <phoneticPr fontId="20"/>
  </si>
  <si>
    <t>福岡県</t>
    <rPh sb="0" eb="3">
      <t>フクオカケン</t>
    </rPh>
    <phoneticPr fontId="20"/>
  </si>
  <si>
    <t>佐賀県</t>
    <rPh sb="0" eb="3">
      <t>サガケン</t>
    </rPh>
    <phoneticPr fontId="20"/>
  </si>
  <si>
    <t>長崎県</t>
    <rPh sb="0" eb="3">
      <t>ナガサキケン</t>
    </rPh>
    <phoneticPr fontId="20"/>
  </si>
  <si>
    <t>熊本県</t>
    <rPh sb="0" eb="3">
      <t>クマモトケン</t>
    </rPh>
    <phoneticPr fontId="20"/>
  </si>
  <si>
    <t>大分県</t>
    <rPh sb="0" eb="3">
      <t>オオイタケン</t>
    </rPh>
    <phoneticPr fontId="20"/>
  </si>
  <si>
    <t>宮崎県</t>
    <rPh sb="0" eb="3">
      <t>ミヤザキケン</t>
    </rPh>
    <phoneticPr fontId="20"/>
  </si>
  <si>
    <t>鹿児島県</t>
    <rPh sb="0" eb="4">
      <t>カゴシマケン</t>
    </rPh>
    <phoneticPr fontId="20"/>
  </si>
  <si>
    <t>沖縄県</t>
    <rPh sb="0" eb="3">
      <t>オキナワケン</t>
    </rPh>
    <phoneticPr fontId="20"/>
  </si>
  <si>
    <t>参照シート</t>
    <rPh sb="0" eb="2">
      <t>サンショウ</t>
    </rPh>
    <phoneticPr fontId="20"/>
  </si>
  <si>
    <t>確認対象項目</t>
    <rPh sb="0" eb="2">
      <t>カクニン</t>
    </rPh>
    <rPh sb="2" eb="4">
      <t>タイショウ</t>
    </rPh>
    <rPh sb="4" eb="6">
      <t>コウモク</t>
    </rPh>
    <phoneticPr fontId="20"/>
  </si>
  <si>
    <t>Yahoo!</t>
    <phoneticPr fontId="20"/>
  </si>
  <si>
    <t>Google</t>
    <phoneticPr fontId="20"/>
  </si>
  <si>
    <t>ユーザーリスト（単体）</t>
    <phoneticPr fontId="20"/>
  </si>
  <si>
    <t>-</t>
    <phoneticPr fontId="20"/>
  </si>
  <si>
    <t>*</t>
    <phoneticPr fontId="20"/>
  </si>
  <si>
    <t>ユーザーリスト（組み合わせ）</t>
    <rPh sb="8" eb="9">
      <t>ク</t>
    </rPh>
    <rPh sb="10" eb="11">
      <t>ア</t>
    </rPh>
    <phoneticPr fontId="20"/>
  </si>
  <si>
    <t>-</t>
    <phoneticPr fontId="20"/>
  </si>
  <si>
    <t>ターゲティング（関連付け）</t>
    <rPh sb="8" eb="11">
      <t>カンレンヅ</t>
    </rPh>
    <phoneticPr fontId="20"/>
  </si>
  <si>
    <t>キーワード（指定）</t>
    <rPh sb="6" eb="8">
      <t>シテイ</t>
    </rPh>
    <phoneticPr fontId="20"/>
  </si>
  <si>
    <t>キーワード（掛け合わせ）</t>
    <rPh sb="6" eb="7">
      <t>カ</t>
    </rPh>
    <rPh sb="8" eb="9">
      <t>ア</t>
    </rPh>
    <phoneticPr fontId="20"/>
  </si>
  <si>
    <t>除外キーワード（指定）</t>
    <rPh sb="0" eb="2">
      <t>ジョガイ</t>
    </rPh>
    <rPh sb="8" eb="10">
      <t>シテイ</t>
    </rPh>
    <phoneticPr fontId="20"/>
  </si>
  <si>
    <t>広告表示オプション（関連付け）</t>
    <rPh sb="10" eb="13">
      <t>カンレンヅ</t>
    </rPh>
    <phoneticPr fontId="20"/>
  </si>
  <si>
    <t>サイトリンク／クイックリンク</t>
  </si>
  <si>
    <t>*</t>
    <phoneticPr fontId="20"/>
  </si>
  <si>
    <t>コールアウト／補足テキスト</t>
  </si>
  <si>
    <t>構造化スニペット／カテゴリ補足オプション</t>
  </si>
  <si>
    <t>電話番号表示オプション</t>
    <rPh sb="0" eb="2">
      <t>デンワ</t>
    </rPh>
    <rPh sb="2" eb="4">
      <t>バンゴウ</t>
    </rPh>
    <rPh sb="4" eb="6">
      <t>ヒョウジ</t>
    </rPh>
    <phoneticPr fontId="6"/>
  </si>
  <si>
    <t>時間設定</t>
    <rPh sb="0" eb="2">
      <t>ジカン</t>
    </rPh>
    <rPh sb="2" eb="4">
      <t>セッテイ</t>
    </rPh>
    <phoneticPr fontId="20"/>
  </si>
  <si>
    <t>個別クリック単価： 1円</t>
    <phoneticPr fontId="20"/>
  </si>
  <si>
    <t>最適化して配信</t>
  </si>
  <si>
    <t>1日の中で均等に広告表示</t>
    <phoneticPr fontId="20"/>
  </si>
  <si>
    <t>広告配信最適化</t>
    <rPh sb="0" eb="2">
      <t>コウコク</t>
    </rPh>
    <rPh sb="2" eb="4">
      <t>ハイシン</t>
    </rPh>
    <rPh sb="4" eb="7">
      <t>サイテキカ</t>
    </rPh>
    <phoneticPr fontId="20"/>
  </si>
  <si>
    <t>自動入力(ロボ利用)</t>
    <rPh sb="0" eb="2">
      <t>ジドウ</t>
    </rPh>
    <rPh sb="2" eb="4">
      <t>ニュウリョク</t>
    </rPh>
    <rPh sb="7" eb="9">
      <t>リヨウ</t>
    </rPh>
    <phoneticPr fontId="20"/>
  </si>
  <si>
    <t>Criterion Type
(Google)</t>
    <phoneticPr fontId="14"/>
  </si>
  <si>
    <t>Criterion Type
(Google)</t>
    <phoneticPr fontId="20"/>
  </si>
  <si>
    <t>コンポーネントの種類
(Yahoo)</t>
    <rPh sb="8" eb="10">
      <t>シュルイ</t>
    </rPh>
    <phoneticPr fontId="20"/>
  </si>
  <si>
    <t>関連付け情報</t>
    <rPh sb="0" eb="2">
      <t>カンレン</t>
    </rPh>
    <rPh sb="2" eb="3">
      <t>ヅ</t>
    </rPh>
    <rPh sb="4" eb="6">
      <t>ジョウホウ</t>
    </rPh>
    <phoneticPr fontId="20"/>
  </si>
  <si>
    <t>クイックリンク</t>
    <phoneticPr fontId="20"/>
  </si>
  <si>
    <t>テキスト補足</t>
    <rPh sb="4" eb="6">
      <t>ホソク</t>
    </rPh>
    <phoneticPr fontId="20"/>
  </si>
  <si>
    <t>カテゴリ補足</t>
    <rPh sb="4" eb="6">
      <t>ホソク</t>
    </rPh>
    <phoneticPr fontId="20"/>
  </si>
  <si>
    <t>電話番号表示</t>
    <rPh sb="0" eb="2">
      <t>デンワ</t>
    </rPh>
    <rPh sb="2" eb="4">
      <t>バンゴウ</t>
    </rPh>
    <rPh sb="4" eb="6">
      <t>ヒョウジ</t>
    </rPh>
    <phoneticPr fontId="20"/>
  </si>
  <si>
    <t>プロモーション表示オプション※Googleのみ</t>
    <rPh sb="7" eb="9">
      <t>ヒョウジ</t>
    </rPh>
    <phoneticPr fontId="20"/>
  </si>
  <si>
    <t>キャンペーン
(Google)
※アカウントレベルの場合の調整</t>
    <rPh sb="26" eb="28">
      <t>バアイ</t>
    </rPh>
    <rPh sb="29" eb="31">
      <t>チョウセイ</t>
    </rPh>
    <phoneticPr fontId="16"/>
  </si>
  <si>
    <t>コンポーネントの種類(Yahoo!/クイックリンク)</t>
    <rPh sb="8" eb="10">
      <t>シュルイ</t>
    </rPh>
    <phoneticPr fontId="16"/>
  </si>
  <si>
    <t>コンポーネントの種類(Yahoo!/テキスト補足)</t>
    <rPh sb="8" eb="10">
      <t>シュルイ</t>
    </rPh>
    <rPh sb="22" eb="24">
      <t>ホソク</t>
    </rPh>
    <phoneticPr fontId="16"/>
  </si>
  <si>
    <t>コンポーネントの種類(Yahoo!/カテゴリ補足)</t>
    <rPh sb="8" eb="10">
      <t>シュルイ</t>
    </rPh>
    <rPh sb="22" eb="24">
      <t>ホソク</t>
    </rPh>
    <phoneticPr fontId="16"/>
  </si>
  <si>
    <t>コンポーネントの種類(Yahoo!/電話番号表示)</t>
    <rPh sb="8" eb="10">
      <t>シュルイ</t>
    </rPh>
    <rPh sb="18" eb="20">
      <t>デンワ</t>
    </rPh>
    <rPh sb="20" eb="22">
      <t>バンゴウ</t>
    </rPh>
    <rPh sb="22" eb="24">
      <t>ヒョウジ</t>
    </rPh>
    <phoneticPr fontId="16"/>
  </si>
  <si>
    <t>プロモーションの種類
(Editor：割引調整比)</t>
    <rPh sb="8" eb="10">
      <t>シュルイ</t>
    </rPh>
    <rPh sb="19" eb="21">
      <t>ワリビキ</t>
    </rPh>
    <rPh sb="21" eb="23">
      <t>チョウセイ</t>
    </rPh>
    <rPh sb="23" eb="24">
      <t>ヒ</t>
    </rPh>
    <phoneticPr fontId="16"/>
  </si>
  <si>
    <t>割引額
(Editor：金銭的な割引サービス)</t>
    <rPh sb="0" eb="2">
      <t>ワリビキ</t>
    </rPh>
    <rPh sb="2" eb="3">
      <t>ガク</t>
    </rPh>
    <rPh sb="12" eb="15">
      <t>キンセンテキ</t>
    </rPh>
    <rPh sb="16" eb="18">
      <t>ワリビキ</t>
    </rPh>
    <phoneticPr fontId="16"/>
  </si>
  <si>
    <t>入札単価調整</t>
    <rPh sb="0" eb="2">
      <t>ニュウサツ</t>
    </rPh>
    <rPh sb="2" eb="4">
      <t>タンカ</t>
    </rPh>
    <rPh sb="4" eb="6">
      <t>チョウセイ</t>
    </rPh>
    <phoneticPr fontId="20"/>
  </si>
  <si>
    <t>地域ID
(Google)</t>
    <rPh sb="0" eb="2">
      <t>チイキ</t>
    </rPh>
    <phoneticPr fontId="20"/>
  </si>
  <si>
    <t>Criterion Type
(Google)</t>
    <phoneticPr fontId="20"/>
  </si>
  <si>
    <t>引き上げ率・引き下げ率</t>
    <rPh sb="0" eb="1">
      <t>ヒ</t>
    </rPh>
    <rPh sb="2" eb="3">
      <t>ア</t>
    </rPh>
    <rPh sb="4" eb="5">
      <t>リツ</t>
    </rPh>
    <rPh sb="6" eb="7">
      <t>ヒ</t>
    </rPh>
    <rPh sb="8" eb="9">
      <t>サ</t>
    </rPh>
    <rPh sb="10" eb="11">
      <t>リツ</t>
    </rPh>
    <phoneticPr fontId="28"/>
  </si>
  <si>
    <t>入札単価調整
(%)</t>
    <rPh sb="0" eb="2">
      <t>ニュウサツ</t>
    </rPh>
    <rPh sb="2" eb="4">
      <t>タンカ</t>
    </rPh>
    <rPh sb="4" eb="6">
      <t>チョウセイ</t>
    </rPh>
    <phoneticPr fontId="20"/>
  </si>
  <si>
    <t>AND(5)</t>
    <phoneticPr fontId="20"/>
  </si>
  <si>
    <t>最終リンク先URL
(サイトリンク/クイックリング)</t>
    <rPh sb="0" eb="2">
      <t>サイシュウ</t>
    </rPh>
    <rPh sb="5" eb="6">
      <t>サキ</t>
    </rPh>
    <phoneticPr fontId="16"/>
  </si>
  <si>
    <t>モバイル
最終リンク先URL
(サイトリンク/クイックリング)</t>
    <rPh sb="5" eb="7">
      <t>サイシュウ</t>
    </rPh>
    <rPh sb="10" eb="11">
      <t>サキ</t>
    </rPh>
    <phoneticPr fontId="16"/>
  </si>
  <si>
    <t>トラッキング
テンプレート
(サイトリンク/クイックリング)</t>
    <phoneticPr fontId="14"/>
  </si>
  <si>
    <t>電話番号
(電話番号表示オプション)</t>
    <rPh sb="0" eb="2">
      <t>デンワ</t>
    </rPh>
    <rPh sb="2" eb="4">
      <t>バンゴウ</t>
    </rPh>
    <rPh sb="6" eb="8">
      <t>デンワ</t>
    </rPh>
    <rPh sb="8" eb="10">
      <t>バンゴウ</t>
    </rPh>
    <rPh sb="10" eb="12">
      <t>ヒョウジ</t>
    </rPh>
    <phoneticPr fontId="5"/>
  </si>
  <si>
    <t>デバイス
※SPのみの場合
(電話番号オプション)</t>
    <rPh sb="11" eb="13">
      <t>バアイ</t>
    </rPh>
    <rPh sb="15" eb="17">
      <t>デンワ</t>
    </rPh>
    <rPh sb="17" eb="19">
      <t>バンゴウ</t>
    </rPh>
    <phoneticPr fontId="5"/>
  </si>
  <si>
    <t>電話番号
(住所表示オプション)</t>
    <rPh sb="0" eb="2">
      <t>デンワ</t>
    </rPh>
    <rPh sb="2" eb="4">
      <t>バンゴウ</t>
    </rPh>
    <rPh sb="6" eb="8">
      <t>ジュウショ</t>
    </rPh>
    <rPh sb="8" eb="10">
      <t>ヒョウジ</t>
    </rPh>
    <phoneticPr fontId="14"/>
  </si>
  <si>
    <t>デバイス
※SPのみの場合
(住所表示オプション)</t>
    <rPh sb="11" eb="13">
      <t>バアイ</t>
    </rPh>
    <rPh sb="15" eb="17">
      <t>ジュウショ</t>
    </rPh>
    <rPh sb="17" eb="19">
      <t>ヒョウジ</t>
    </rPh>
    <phoneticPr fontId="5"/>
  </si>
  <si>
    <t>言語
(価格表示オプション)</t>
    <rPh sb="0" eb="2">
      <t>ゲンゴ</t>
    </rPh>
    <rPh sb="4" eb="6">
      <t>カカク</t>
    </rPh>
    <rPh sb="6" eb="8">
      <t>ヒョウジ</t>
    </rPh>
    <phoneticPr fontId="0"/>
  </si>
  <si>
    <t>通貨
(価格表示オプション)</t>
    <rPh sb="0" eb="2">
      <t>ツウカ</t>
    </rPh>
    <rPh sb="4" eb="6">
      <t>カカク</t>
    </rPh>
    <rPh sb="6" eb="8">
      <t>ヒョウジ</t>
    </rPh>
    <phoneticPr fontId="0"/>
  </si>
  <si>
    <t>最終ページURL
(価格表示オプション)</t>
    <rPh sb="0" eb="2">
      <t>サイシュウ</t>
    </rPh>
    <rPh sb="10" eb="12">
      <t>カカク</t>
    </rPh>
    <rPh sb="12" eb="14">
      <t>ヒョウジ</t>
    </rPh>
    <phoneticPr fontId="0"/>
  </si>
  <si>
    <t>モバイル
最終リンク先URL
(価格表示オプション)</t>
    <rPh sb="5" eb="7">
      <t>サイシュウ</t>
    </rPh>
    <rPh sb="10" eb="11">
      <t>サキ</t>
    </rPh>
    <phoneticPr fontId="16"/>
  </si>
  <si>
    <t>電話番号
(メッセージ表示オプション)</t>
    <rPh sb="0" eb="2">
      <t>デンワ</t>
    </rPh>
    <rPh sb="2" eb="4">
      <t>バンゴウ</t>
    </rPh>
    <rPh sb="11" eb="13">
      <t>ヒョウジ</t>
    </rPh>
    <phoneticPr fontId="16"/>
  </si>
  <si>
    <t>言語
(プロモーション表示オプション)</t>
    <rPh sb="0" eb="2">
      <t>ゲンゴ</t>
    </rPh>
    <rPh sb="11" eb="13">
      <t>ヒョウジ</t>
    </rPh>
    <phoneticPr fontId="16"/>
  </si>
  <si>
    <t>通貨
(プロモーション表示オプション)</t>
    <rPh sb="0" eb="2">
      <t>ツウカ</t>
    </rPh>
    <phoneticPr fontId="16"/>
  </si>
  <si>
    <t xml:space="preserve">次の金額以上の注文 </t>
    <rPh sb="0" eb="1">
      <t>ツギ</t>
    </rPh>
    <rPh sb="2" eb="4">
      <t>キンガク</t>
    </rPh>
    <rPh sb="4" eb="6">
      <t>イジョウ</t>
    </rPh>
    <rPh sb="7" eb="9">
      <t>チュウモン</t>
    </rPh>
    <phoneticPr fontId="16"/>
  </si>
  <si>
    <t>E/F列の判定で〇になる条件</t>
    <rPh sb="3" eb="4">
      <t>レツ</t>
    </rPh>
    <rPh sb="5" eb="7">
      <t>ハンテイ</t>
    </rPh>
    <rPh sb="12" eb="14">
      <t>ジョウケン</t>
    </rPh>
    <phoneticPr fontId="20"/>
  </si>
  <si>
    <t>総キーワード数（セル：X2）が0ではない</t>
    <rPh sb="0" eb="1">
      <t>ソウ</t>
    </rPh>
    <rPh sb="6" eb="7">
      <t>スウ</t>
    </rPh>
    <phoneticPr fontId="20"/>
  </si>
  <si>
    <t>媒体列（B列）14行目以降に各媒体名を含む行がある</t>
    <rPh sb="0" eb="2">
      <t>バイタイ</t>
    </rPh>
    <rPh sb="2" eb="3">
      <t>レツ</t>
    </rPh>
    <rPh sb="5" eb="6">
      <t>レツ</t>
    </rPh>
    <rPh sb="9" eb="10">
      <t>ギョウ</t>
    </rPh>
    <rPh sb="10" eb="11">
      <t>メ</t>
    </rPh>
    <rPh sb="11" eb="13">
      <t>イコウ</t>
    </rPh>
    <phoneticPr fontId="20"/>
  </si>
  <si>
    <t>媒体列（B列）14行目以降に各媒体名を含む行がある</t>
    <rPh sb="0" eb="2">
      <t>バイタイ</t>
    </rPh>
    <rPh sb="2" eb="3">
      <t>レツ</t>
    </rPh>
    <rPh sb="5" eb="6">
      <t>レツ</t>
    </rPh>
    <phoneticPr fontId="20"/>
  </si>
  <si>
    <t>媒体列（A列）18行目以降に各媒体名を含む行がある</t>
    <rPh sb="0" eb="2">
      <t>バイタイ</t>
    </rPh>
    <rPh sb="2" eb="3">
      <t>レツ</t>
    </rPh>
    <phoneticPr fontId="20"/>
  </si>
  <si>
    <t>媒体列（A列）に各媒体名を含む行がある
(参照シートに記載例の行がないため、「XX行目以降」など行数は指定していない)</t>
    <rPh sb="0" eb="2">
      <t>バイタイ</t>
    </rPh>
    <rPh sb="2" eb="3">
      <t>レツ</t>
    </rPh>
    <rPh sb="21" eb="23">
      <t>サンショウ</t>
    </rPh>
    <rPh sb="27" eb="29">
      <t>キサイ</t>
    </rPh>
    <rPh sb="29" eb="30">
      <t>レイ</t>
    </rPh>
    <rPh sb="31" eb="32">
      <t>ギョウ</t>
    </rPh>
    <rPh sb="41" eb="42">
      <t>ギョウ</t>
    </rPh>
    <rPh sb="42" eb="43">
      <t>メ</t>
    </rPh>
    <rPh sb="43" eb="45">
      <t>イコウ</t>
    </rPh>
    <rPh sb="48" eb="50">
      <t>ギョウスウ</t>
    </rPh>
    <rPh sb="51" eb="53">
      <t>シテイ</t>
    </rPh>
    <phoneticPr fontId="20"/>
  </si>
  <si>
    <r>
      <t xml:space="preserve">「媒体列（A列）22行目以降に各媒体名を含む行がある」
</t>
    </r>
    <r>
      <rPr>
        <b/>
        <sz val="9"/>
        <color theme="1"/>
        <rFont val="Meiryo UI"/>
        <family val="3"/>
        <charset val="128"/>
      </rPr>
      <t>かつ</t>
    </r>
    <r>
      <rPr>
        <sz val="9"/>
        <color theme="1"/>
        <rFont val="Meiryo UI"/>
        <family val="3"/>
        <charset val="128"/>
      </rPr>
      <t>「サイトリンクテキスト／ クイックリンクテキスト（G列）に記載がある行がある」</t>
    </r>
    <rPh sb="1" eb="3">
      <t>バイタイ</t>
    </rPh>
    <rPh sb="3" eb="4">
      <t>レツ</t>
    </rPh>
    <rPh sb="6" eb="7">
      <t>レツ</t>
    </rPh>
    <rPh sb="10" eb="12">
      <t>ギョウメ</t>
    </rPh>
    <rPh sb="12" eb="14">
      <t>イコウ</t>
    </rPh>
    <rPh sb="15" eb="16">
      <t>カク</t>
    </rPh>
    <rPh sb="16" eb="18">
      <t>バイタイ</t>
    </rPh>
    <rPh sb="18" eb="19">
      <t>メイ</t>
    </rPh>
    <rPh sb="20" eb="21">
      <t>フク</t>
    </rPh>
    <rPh sb="22" eb="23">
      <t>ギョウ</t>
    </rPh>
    <rPh sb="56" eb="57">
      <t>レツ</t>
    </rPh>
    <rPh sb="59" eb="61">
      <t>キサイ</t>
    </rPh>
    <rPh sb="64" eb="65">
      <t>ギョウ</t>
    </rPh>
    <phoneticPr fontId="20"/>
  </si>
  <si>
    <r>
      <t xml:space="preserve">「媒体列(A列)22行目以降に各媒体名を含む行がある」
</t>
    </r>
    <r>
      <rPr>
        <b/>
        <sz val="9"/>
        <color theme="1"/>
        <rFont val="Meiryo UI"/>
        <family val="3"/>
        <charset val="128"/>
      </rPr>
      <t>かつ</t>
    </r>
    <r>
      <rPr>
        <sz val="9"/>
        <color theme="1"/>
        <rFont val="Meiryo UI"/>
        <family val="3"/>
        <charset val="128"/>
      </rPr>
      <t>「テキスト（M列）に記載がある行がある」</t>
    </r>
    <rPh sb="37" eb="38">
      <t>レツ</t>
    </rPh>
    <rPh sb="40" eb="42">
      <t>キサイ</t>
    </rPh>
    <rPh sb="45" eb="46">
      <t>ギョウ</t>
    </rPh>
    <phoneticPr fontId="20"/>
  </si>
  <si>
    <r>
      <t xml:space="preserve">「媒体列(A列)22行目以降に各媒体名を含む行がある」
</t>
    </r>
    <r>
      <rPr>
        <b/>
        <sz val="9"/>
        <color theme="1"/>
        <rFont val="Meiryo UI"/>
        <family val="3"/>
        <charset val="128"/>
      </rPr>
      <t>かつ</t>
    </r>
    <r>
      <rPr>
        <sz val="9"/>
        <color theme="1"/>
        <rFont val="Meiryo UI"/>
        <family val="3"/>
        <charset val="128"/>
      </rPr>
      <t xml:space="preserve">「構造化スニペットラベル（N列）に記載がある行がある」
</t>
    </r>
    <r>
      <rPr>
        <b/>
        <sz val="9"/>
        <color theme="1"/>
        <rFont val="Meiryo UI"/>
        <family val="3"/>
        <charset val="128"/>
      </rPr>
      <t>かつ</t>
    </r>
    <r>
      <rPr>
        <sz val="9"/>
        <color theme="1"/>
        <rFont val="Meiryo UI"/>
        <family val="3"/>
        <charset val="128"/>
      </rPr>
      <t>「構造化スニペットラベル（N列）の記載が"入力規則"ではない」</t>
    </r>
    <rPh sb="44" eb="45">
      <t>レツ</t>
    </rPh>
    <rPh sb="47" eb="49">
      <t>キサイ</t>
    </rPh>
    <rPh sb="52" eb="53">
      <t>ギョウ</t>
    </rPh>
    <rPh sb="81" eb="83">
      <t>ニュウリョク</t>
    </rPh>
    <rPh sb="83" eb="85">
      <t>キソク</t>
    </rPh>
    <phoneticPr fontId="20"/>
  </si>
  <si>
    <r>
      <t xml:space="preserve">「媒体列(A列)22行目以降に各媒体名を含む行がある」
</t>
    </r>
    <r>
      <rPr>
        <b/>
        <sz val="9"/>
        <color theme="1"/>
        <rFont val="Meiryo UI"/>
        <family val="3"/>
        <charset val="128"/>
      </rPr>
      <t>かつ</t>
    </r>
    <r>
      <rPr>
        <sz val="9"/>
        <color theme="1"/>
        <rFont val="Meiryo UI"/>
        <family val="3"/>
        <charset val="128"/>
      </rPr>
      <t>「電話番号（P列）に記載がある行がある」</t>
    </r>
    <rPh sb="37" eb="38">
      <t>レツ</t>
    </rPh>
    <rPh sb="40" eb="42">
      <t>キサイ</t>
    </rPh>
    <rPh sb="45" eb="46">
      <t>ギョウ</t>
    </rPh>
    <phoneticPr fontId="20"/>
  </si>
  <si>
    <t>都道府県(略称)</t>
    <rPh sb="0" eb="4">
      <t>トドウフケン</t>
    </rPh>
    <rPh sb="5" eb="7">
      <t>リャクショウ</t>
    </rPh>
    <phoneticPr fontId="20"/>
  </si>
  <si>
    <t>青森</t>
    <phoneticPr fontId="20"/>
  </si>
  <si>
    <t>岩手</t>
    <phoneticPr fontId="20"/>
  </si>
  <si>
    <t>宮城</t>
    <phoneticPr fontId="20"/>
  </si>
  <si>
    <t>秋田</t>
    <phoneticPr fontId="20"/>
  </si>
  <si>
    <t>山形</t>
    <phoneticPr fontId="20"/>
  </si>
  <si>
    <t>福島</t>
    <phoneticPr fontId="20"/>
  </si>
  <si>
    <t>茨城</t>
    <phoneticPr fontId="20"/>
  </si>
  <si>
    <t>栃木</t>
    <phoneticPr fontId="20"/>
  </si>
  <si>
    <t>群馬</t>
    <phoneticPr fontId="20"/>
  </si>
  <si>
    <t>埼玉</t>
    <phoneticPr fontId="20"/>
  </si>
  <si>
    <t>千葉</t>
    <phoneticPr fontId="20"/>
  </si>
  <si>
    <t>神奈川</t>
    <phoneticPr fontId="20"/>
  </si>
  <si>
    <t>新潟</t>
    <phoneticPr fontId="20"/>
  </si>
  <si>
    <t>富山</t>
    <phoneticPr fontId="20"/>
  </si>
  <si>
    <t>石川</t>
    <phoneticPr fontId="20"/>
  </si>
  <si>
    <t>福井</t>
    <phoneticPr fontId="20"/>
  </si>
  <si>
    <t>山梨</t>
    <rPh sb="0" eb="2">
      <t>ヤマナシ</t>
    </rPh>
    <phoneticPr fontId="20"/>
  </si>
  <si>
    <t>長野</t>
    <phoneticPr fontId="20"/>
  </si>
  <si>
    <t>岐阜</t>
    <phoneticPr fontId="20"/>
  </si>
  <si>
    <t>静岡</t>
    <phoneticPr fontId="20"/>
  </si>
  <si>
    <t>愛知</t>
    <phoneticPr fontId="20"/>
  </si>
  <si>
    <t>三重</t>
    <phoneticPr fontId="20"/>
  </si>
  <si>
    <t>滋賀</t>
    <phoneticPr fontId="20"/>
  </si>
  <si>
    <t>兵庫</t>
    <phoneticPr fontId="20"/>
  </si>
  <si>
    <t>奈良</t>
    <phoneticPr fontId="20"/>
  </si>
  <si>
    <t>和歌山</t>
    <phoneticPr fontId="20"/>
  </si>
  <si>
    <t>鳥取</t>
    <rPh sb="0" eb="2">
      <t>トットリ</t>
    </rPh>
    <phoneticPr fontId="20"/>
  </si>
  <si>
    <t>島根</t>
    <phoneticPr fontId="20"/>
  </si>
  <si>
    <t>岡山</t>
    <phoneticPr fontId="20"/>
  </si>
  <si>
    <t>広島</t>
    <phoneticPr fontId="20"/>
  </si>
  <si>
    <t>山口</t>
    <phoneticPr fontId="20"/>
  </si>
  <si>
    <t>徳島</t>
    <rPh sb="0" eb="2">
      <t>トクシマ</t>
    </rPh>
    <phoneticPr fontId="20"/>
  </si>
  <si>
    <t>香川</t>
    <phoneticPr fontId="20"/>
  </si>
  <si>
    <t>愛媛</t>
    <phoneticPr fontId="20"/>
  </si>
  <si>
    <t>高知</t>
    <phoneticPr fontId="20"/>
  </si>
  <si>
    <t>福岡</t>
    <phoneticPr fontId="20"/>
  </si>
  <si>
    <t>佐賀</t>
    <phoneticPr fontId="20"/>
  </si>
  <si>
    <t>長崎</t>
    <phoneticPr fontId="20"/>
  </si>
  <si>
    <t>熊本</t>
    <phoneticPr fontId="20"/>
  </si>
  <si>
    <t>大分</t>
    <phoneticPr fontId="20"/>
  </si>
  <si>
    <t>宮崎</t>
    <phoneticPr fontId="20"/>
  </si>
  <si>
    <t>鹿児島</t>
    <phoneticPr fontId="20"/>
  </si>
  <si>
    <t>沖縄</t>
    <phoneticPr fontId="20"/>
  </si>
  <si>
    <t>東京</t>
    <rPh sb="0" eb="2">
      <t>トウキョウ</t>
    </rPh>
    <phoneticPr fontId="20"/>
  </si>
  <si>
    <t>京都</t>
    <rPh sb="0" eb="2">
      <t>キョウト</t>
    </rPh>
    <phoneticPr fontId="20"/>
  </si>
  <si>
    <t>大阪</t>
    <rPh sb="0" eb="2">
      <t>オオサカ</t>
    </rPh>
    <phoneticPr fontId="20"/>
  </si>
  <si>
    <t>地域名補正
(Yahoo!)</t>
    <rPh sb="0" eb="3">
      <t>チイキメイ</t>
    </rPh>
    <rPh sb="3" eb="5">
      <t>ホセイ</t>
    </rPh>
    <phoneticPr fontId="20"/>
  </si>
  <si>
    <t>日本</t>
    <rPh sb="0" eb="2">
      <t>ニホン</t>
    </rPh>
    <phoneticPr fontId="20"/>
  </si>
  <si>
    <t>入札単価調整比（％）</t>
    <phoneticPr fontId="20"/>
  </si>
  <si>
    <t>引き上げ率・引き下げ率</t>
    <rPh sb="0" eb="1">
      <t>ヒ</t>
    </rPh>
    <rPh sb="2" eb="3">
      <t>ア</t>
    </rPh>
    <rPh sb="4" eb="5">
      <t>リツ</t>
    </rPh>
    <rPh sb="6" eb="7">
      <t>ヒ</t>
    </rPh>
    <rPh sb="8" eb="9">
      <t>サ</t>
    </rPh>
    <rPh sb="10" eb="11">
      <t>リツ</t>
    </rPh>
    <phoneticPr fontId="20"/>
  </si>
  <si>
    <t>入力規則</t>
  </si>
  <si>
    <t>アイスランド語</t>
  </si>
  <si>
    <t>アラビア語</t>
  </si>
  <si>
    <t>イタリア語</t>
  </si>
  <si>
    <t>インドネシア語</t>
  </si>
  <si>
    <t>ウクライナ語</t>
  </si>
  <si>
    <t>ウルドゥー語</t>
  </si>
  <si>
    <t>エストニア語</t>
  </si>
  <si>
    <t>オランダ語</t>
  </si>
  <si>
    <t>カタロニア語</t>
  </si>
  <si>
    <t>ギリシャ語</t>
  </si>
  <si>
    <t>クロアチア語</t>
  </si>
  <si>
    <t>スウェーデン語</t>
  </si>
  <si>
    <t>スペイン語</t>
  </si>
  <si>
    <t>スロバキア語</t>
  </si>
  <si>
    <t>スロベニア語</t>
  </si>
  <si>
    <t>セルビア語</t>
  </si>
  <si>
    <t>タイ語</t>
  </si>
  <si>
    <t>タミル語</t>
  </si>
  <si>
    <t>チェコ語</t>
  </si>
  <si>
    <t>テルグ語</t>
  </si>
  <si>
    <t>デンマーク語</t>
  </si>
  <si>
    <t>ドイツ語</t>
  </si>
  <si>
    <t>トルコ語</t>
  </si>
  <si>
    <t>ノルウェー語</t>
  </si>
  <si>
    <t>ハンガリー語</t>
  </si>
  <si>
    <t>ヒンディー語</t>
  </si>
  <si>
    <t>フィリピン語</t>
  </si>
  <si>
    <t>フィンランド語</t>
  </si>
  <si>
    <t>フランス語</t>
  </si>
  <si>
    <t>ブルガリア語</t>
  </si>
  <si>
    <t>ベトナム語</t>
  </si>
  <si>
    <t>ヘブライ語</t>
  </si>
  <si>
    <t>ペルシャ語</t>
  </si>
  <si>
    <t>ベンガル語</t>
  </si>
  <si>
    <t>ポーランド語</t>
  </si>
  <si>
    <t>ポルトガル語</t>
  </si>
  <si>
    <t>マレー語</t>
  </si>
  <si>
    <t>ラトビア語</t>
  </si>
  <si>
    <t>リトアニア語</t>
  </si>
  <si>
    <t>ルーマニア語</t>
  </si>
  <si>
    <t>ロシア語</t>
  </si>
  <si>
    <t>英語</t>
  </si>
  <si>
    <t>韓国語</t>
  </si>
  <si>
    <t>中国語(簡体)</t>
  </si>
  <si>
    <t>中国語(繁体)</t>
  </si>
  <si>
    <t>コンバージョン単価の目標値</t>
    <rPh sb="10" eb="13">
      <t>モクヒョウチ</t>
    </rPh>
    <phoneticPr fontId="16"/>
  </si>
  <si>
    <t>シート名</t>
    <rPh sb="3" eb="4">
      <t>メイ</t>
    </rPh>
    <phoneticPr fontId="16"/>
  </si>
  <si>
    <t>フロント必須チェック
Keyカラム</t>
    <rPh sb="4" eb="6">
      <t>ヒッス</t>
    </rPh>
    <phoneticPr fontId="16"/>
  </si>
  <si>
    <t>コンサル必須チェック
Keyカラム</t>
    <rPh sb="4" eb="6">
      <t>ヒッス</t>
    </rPh>
    <phoneticPr fontId="16"/>
  </si>
  <si>
    <t>アカウント設定情報</t>
  </si>
  <si>
    <t>特別ルールにて処理</t>
    <rPh sb="0" eb="2">
      <t>トクベツ</t>
    </rPh>
    <rPh sb="7" eb="9">
      <t>ショリ</t>
    </rPh>
    <phoneticPr fontId="14"/>
  </si>
  <si>
    <t>広告グループ</t>
  </si>
  <si>
    <t>※上記のシート名が非表示設定の場合、必須チェック対象外。</t>
    <rPh sb="1" eb="3">
      <t>ジョウキ</t>
    </rPh>
    <rPh sb="7" eb="8">
      <t>メイ</t>
    </rPh>
    <rPh sb="9" eb="12">
      <t>ヒヒョウジ</t>
    </rPh>
    <rPh sb="12" eb="14">
      <t>セッテイ</t>
    </rPh>
    <rPh sb="15" eb="17">
      <t>バアイ</t>
    </rPh>
    <rPh sb="18" eb="20">
      <t>ヒッス</t>
    </rPh>
    <rPh sb="24" eb="27">
      <t>タイショウガイ</t>
    </rPh>
    <phoneticPr fontId="14"/>
  </si>
  <si>
    <t>このラベルがついている項目をチェックしています。</t>
    <phoneticPr fontId="61"/>
  </si>
  <si>
    <t>チェック日時</t>
    <rPh sb="4" eb="6">
      <t>ニチジ</t>
    </rPh>
    <phoneticPr fontId="61"/>
  </si>
  <si>
    <t>※下記項目が未入力です。入力してください。</t>
    <rPh sb="1" eb="3">
      <t>カキ</t>
    </rPh>
    <rPh sb="3" eb="5">
      <t>コウモク</t>
    </rPh>
    <rPh sb="6" eb="9">
      <t>ミニュウリョク</t>
    </rPh>
    <rPh sb="12" eb="14">
      <t>ニュウリョク</t>
    </rPh>
    <phoneticPr fontId="61"/>
  </si>
  <si>
    <r>
      <rPr>
        <sz val="11"/>
        <color theme="1"/>
        <rFont val="メイリオ"/>
        <family val="3"/>
        <charset val="128"/>
      </rPr>
      <t xml:space="preserve">※入稿本数 </t>
    </r>
    <r>
      <rPr>
        <sz val="8"/>
        <color theme="1"/>
        <rFont val="メイリオ"/>
        <family val="3"/>
        <charset val="128"/>
      </rPr>
      <t>・・・未入力箇所の有無にかかわらず数値が出力されます。</t>
    </r>
    <rPh sb="1" eb="5">
      <t>ニュウコウホンスウ</t>
    </rPh>
    <rPh sb="23" eb="25">
      <t>スウチ</t>
    </rPh>
    <phoneticPr fontId="61"/>
  </si>
  <si>
    <t>項目名</t>
    <rPh sb="0" eb="2">
      <t>コウモク</t>
    </rPh>
    <rPh sb="2" eb="3">
      <t>メイ</t>
    </rPh>
    <phoneticPr fontId="16"/>
  </si>
  <si>
    <t>セル</t>
    <phoneticPr fontId="16"/>
  </si>
  <si>
    <t>入力値</t>
    <rPh sb="0" eb="2">
      <t>ニュウリョク</t>
    </rPh>
    <rPh sb="2" eb="3">
      <t>アタイ</t>
    </rPh>
    <phoneticPr fontId="14"/>
  </si>
  <si>
    <t>入力例・注意点</t>
    <rPh sb="0" eb="2">
      <t>ニュウリョク</t>
    </rPh>
    <rPh sb="2" eb="3">
      <t>レイ</t>
    </rPh>
    <rPh sb="4" eb="6">
      <t>チュウイ</t>
    </rPh>
    <rPh sb="6" eb="7">
      <t>テン</t>
    </rPh>
    <phoneticPr fontId="14"/>
  </si>
  <si>
    <t>入稿
掲載確認</t>
    <rPh sb="3" eb="5">
      <t>ケイサイ</t>
    </rPh>
    <rPh sb="5" eb="7">
      <t>カクニン</t>
    </rPh>
    <phoneticPr fontId="14"/>
  </si>
  <si>
    <t>入稿
(BPO)</t>
    <rPh sb="0" eb="2">
      <t>ニュウコウ</t>
    </rPh>
    <phoneticPr fontId="14"/>
  </si>
  <si>
    <t>ファイル種別</t>
    <rPh sb="4" eb="6">
      <t>シュベツ</t>
    </rPh>
    <phoneticPr fontId="14"/>
  </si>
  <si>
    <t>「AP＆PF入稿タスクセット」 or 「BPO入稿タスクセット依頼」を選択</t>
    <rPh sb="35" eb="37">
      <t>センタク</t>
    </rPh>
    <phoneticPr fontId="14"/>
  </si>
  <si>
    <t>◎</t>
  </si>
  <si>
    <t>dios No</t>
    <phoneticPr fontId="14"/>
  </si>
  <si>
    <t>テキスト、カンマ区切り ※複数可</t>
    <rPh sb="8" eb="10">
      <t>クギ</t>
    </rPh>
    <rPh sb="13" eb="15">
      <t>フクスウ</t>
    </rPh>
    <rPh sb="15" eb="16">
      <t>カ</t>
    </rPh>
    <phoneticPr fontId="14"/>
  </si>
  <si>
    <t>Prefix</t>
    <phoneticPr fontId="14"/>
  </si>
  <si>
    <t>テキスト（自由記述）</t>
    <rPh sb="5" eb="7">
      <t>ジユウ</t>
    </rPh>
    <rPh sb="7" eb="9">
      <t>キジュツ</t>
    </rPh>
    <phoneticPr fontId="14"/>
  </si>
  <si>
    <t xml:space="preserve">PF担当者 </t>
    <phoneticPr fontId="14"/>
  </si>
  <si>
    <t>メールアドレス、カンマ区切り ※複数可</t>
    <rPh sb="11" eb="13">
      <t>クギ</t>
    </rPh>
    <phoneticPr fontId="14"/>
  </si>
  <si>
    <t>SLA</t>
    <phoneticPr fontId="14"/>
  </si>
  <si>
    <t>日数（数値を入力）※自動計算</t>
    <rPh sb="0" eb="2">
      <t>ニッスウ</t>
    </rPh>
    <rPh sb="3" eb="5">
      <t>スウチ</t>
    </rPh>
    <rPh sb="6" eb="8">
      <t>ニュウリョク</t>
    </rPh>
    <rPh sb="10" eb="12">
      <t>ジドウ</t>
    </rPh>
    <rPh sb="12" eb="14">
      <t>ケイサン</t>
    </rPh>
    <phoneticPr fontId="14"/>
  </si>
  <si>
    <t>○</t>
  </si>
  <si>
    <t>BP局担当者</t>
    <phoneticPr fontId="14"/>
  </si>
  <si>
    <t>AP担当者</t>
    <phoneticPr fontId="14"/>
  </si>
  <si>
    <t>　キャンペーン名</t>
    <rPh sb="7" eb="8">
      <t>メイ</t>
    </rPh>
    <phoneticPr fontId="14"/>
  </si>
  <si>
    <t>自動記述（”キャンペーン”シートを参照）</t>
    <rPh sb="0" eb="2">
      <t>ジドウ</t>
    </rPh>
    <rPh sb="2" eb="4">
      <t>キジュツ</t>
    </rPh>
    <rPh sb="17" eb="19">
      <t>サンショウ</t>
    </rPh>
    <phoneticPr fontId="14"/>
  </si>
  <si>
    <t>　掲載開始日</t>
    <rPh sb="1" eb="3">
      <t>ケイサイ</t>
    </rPh>
    <rPh sb="3" eb="6">
      <t>カイシビ</t>
    </rPh>
    <phoneticPr fontId="14"/>
  </si>
  <si>
    <t>　掲載終了日</t>
    <rPh sb="1" eb="3">
      <t>ケイサイ</t>
    </rPh>
    <rPh sb="3" eb="5">
      <t>シュウリョウ</t>
    </rPh>
    <rPh sb="5" eb="6">
      <t>ビ</t>
    </rPh>
    <phoneticPr fontId="14"/>
  </si>
  <si>
    <t>BPO依頼事業名</t>
    <rPh sb="3" eb="5">
      <t>イライ</t>
    </rPh>
    <rPh sb="5" eb="7">
      <t>ジギョウ</t>
    </rPh>
    <rPh sb="7" eb="8">
      <t>メイ</t>
    </rPh>
    <phoneticPr fontId="14"/>
  </si>
  <si>
    <t>DOP or WC を選択</t>
    <rPh sb="11" eb="13">
      <t>センタク</t>
    </rPh>
    <phoneticPr fontId="14"/>
  </si>
  <si>
    <t>BPO依頼事業担当者</t>
    <rPh sb="3" eb="5">
      <t>イライ</t>
    </rPh>
    <rPh sb="5" eb="7">
      <t>ジギョウ</t>
    </rPh>
    <rPh sb="7" eb="10">
      <t>タントウシャ</t>
    </rPh>
    <phoneticPr fontId="14"/>
  </si>
  <si>
    <t>自動記述</t>
    <rPh sb="0" eb="2">
      <t>ジドウ</t>
    </rPh>
    <rPh sb="2" eb="4">
      <t>キジュツ</t>
    </rPh>
    <phoneticPr fontId="14"/>
  </si>
  <si>
    <t>アサイン要望リストNo.</t>
    <phoneticPr fontId="14"/>
  </si>
  <si>
    <t>BPOアサインフローのNoを記載</t>
    <rPh sb="14" eb="16">
      <t>キサイ</t>
    </rPh>
    <phoneticPr fontId="14"/>
  </si>
  <si>
    <t>プロダクト</t>
    <phoneticPr fontId="14"/>
  </si>
  <si>
    <t>テキスト</t>
    <phoneticPr fontId="14"/>
  </si>
  <si>
    <t>アドホックorルーチン</t>
    <phoneticPr fontId="14"/>
  </si>
  <si>
    <t>アドホック or ルーチンを選択</t>
    <rPh sb="14" eb="16">
      <t>センタク</t>
    </rPh>
    <phoneticPr fontId="14"/>
  </si>
  <si>
    <t>　アドホック:納期</t>
    <phoneticPr fontId="14"/>
  </si>
  <si>
    <t>日付 yyyy/MM/dd形式を入力</t>
    <rPh sb="0" eb="2">
      <t>ヒヅケ</t>
    </rPh>
    <rPh sb="13" eb="15">
      <t>ケイシキ</t>
    </rPh>
    <rPh sb="16" eb="18">
      <t>ニュウリョク</t>
    </rPh>
    <phoneticPr fontId="14"/>
  </si>
  <si>
    <t>※アドホックの場合必須</t>
    <rPh sb="7" eb="9">
      <t>バアイ</t>
    </rPh>
    <rPh sb="9" eb="11">
      <t>ヒッス</t>
    </rPh>
    <phoneticPr fontId="35"/>
  </si>
  <si>
    <t>　ルーチン:初回納期</t>
    <phoneticPr fontId="14"/>
  </si>
  <si>
    <t>日付 yyyy/MM/dd形式を入力</t>
    <rPh sb="0" eb="2">
      <t>ヒヅケ</t>
    </rPh>
    <rPh sb="13" eb="15">
      <t>ケイシキ</t>
    </rPh>
    <phoneticPr fontId="14"/>
  </si>
  <si>
    <t>※ルーチンの場合必須</t>
  </si>
  <si>
    <t>　ルーチン:終了日</t>
    <rPh sb="6" eb="9">
      <t>シュウリョウビ</t>
    </rPh>
    <phoneticPr fontId="14"/>
  </si>
  <si>
    <t>　ルーチン:頻度</t>
    <rPh sb="6" eb="8">
      <t>ヒンド</t>
    </rPh>
    <phoneticPr fontId="14"/>
  </si>
  <si>
    <t>日次 or 週次 or 月次を選択</t>
    <rPh sb="0" eb="2">
      <t>ニチジ</t>
    </rPh>
    <rPh sb="6" eb="8">
      <t>シュウジ</t>
    </rPh>
    <rPh sb="12" eb="14">
      <t>ゲツジ</t>
    </rPh>
    <rPh sb="15" eb="17">
      <t>センタク</t>
    </rPh>
    <phoneticPr fontId="14"/>
  </si>
  <si>
    <t>　ルーチン:工数</t>
    <rPh sb="6" eb="8">
      <t>コウスウ</t>
    </rPh>
    <phoneticPr fontId="14"/>
  </si>
  <si>
    <t>数値（時間）</t>
    <rPh sb="0" eb="2">
      <t>スウチ</t>
    </rPh>
    <rPh sb="3" eb="5">
      <t>ジカン</t>
    </rPh>
    <phoneticPr fontId="14"/>
  </si>
  <si>
    <t>ＤＯＰ</t>
    <phoneticPr fontId="14"/>
  </si>
  <si>
    <t>toshiyuki.sato@dentsu-op.co.jp,dd_karimata@dentsu-op.co.jp</t>
    <phoneticPr fontId="14"/>
  </si>
  <si>
    <t>ＷＣ</t>
    <phoneticPr fontId="14"/>
  </si>
  <si>
    <t>dd_shiozawa@vveb.jp,dd_all@vveb.jp</t>
    <phoneticPr fontId="14"/>
  </si>
  <si>
    <t>バージョン情報</t>
    <rPh sb="5" eb="7">
      <t>ジョウホウ</t>
    </rPh>
    <phoneticPr fontId="14"/>
  </si>
  <si>
    <t>テキスト、カンマ区切り</t>
    <rPh sb="8" eb="10">
      <t>クギ</t>
    </rPh>
    <phoneticPr fontId="14"/>
  </si>
  <si>
    <t>◎</t>
    <phoneticPr fontId="14"/>
  </si>
  <si>
    <t>Prefix(タスク名)</t>
    <rPh sb="10" eb="11">
      <t>ナ</t>
    </rPh>
    <phoneticPr fontId="14"/>
  </si>
  <si>
    <t>メールアドレス、カンマ区切り</t>
    <rPh sb="11" eb="13">
      <t>クギ</t>
    </rPh>
    <phoneticPr fontId="14"/>
  </si>
  <si>
    <t>○</t>
    <phoneticPr fontId="14"/>
  </si>
  <si>
    <t>プルダウン？</t>
    <phoneticPr fontId="14"/>
  </si>
  <si>
    <t>日数（数値を入力）</t>
    <rPh sb="0" eb="2">
      <t>ニッスウ</t>
    </rPh>
    <rPh sb="3" eb="5">
      <t>スウチ</t>
    </rPh>
    <rPh sb="6" eb="8">
      <t>ニュウリョク</t>
    </rPh>
    <phoneticPr fontId="14"/>
  </si>
  <si>
    <t>新規or既存</t>
    <rPh sb="0" eb="2">
      <t>シンキ</t>
    </rPh>
    <rPh sb="4" eb="6">
      <t>キゾン</t>
    </rPh>
    <phoneticPr fontId="14"/>
  </si>
  <si>
    <t>プルダウン（10：新規、20：既存）</t>
    <rPh sb="9" eb="11">
      <t>シンキ</t>
    </rPh>
    <rPh sb="15" eb="17">
      <t>キゾン</t>
    </rPh>
    <phoneticPr fontId="14"/>
  </si>
  <si>
    <t>案件名</t>
    <rPh sb="0" eb="2">
      <t>アンケン</t>
    </rPh>
    <rPh sb="2" eb="3">
      <t>メイ</t>
    </rPh>
    <phoneticPr fontId="14"/>
  </si>
  <si>
    <t>アカウント名</t>
    <phoneticPr fontId="14"/>
  </si>
  <si>
    <t>ID</t>
    <phoneticPr fontId="14"/>
  </si>
  <si>
    <t>PASS</t>
    <phoneticPr fontId="14"/>
  </si>
  <si>
    <t>グロス計算式</t>
    <phoneticPr fontId="14"/>
  </si>
  <si>
    <t>CV指標</t>
    <phoneticPr fontId="14"/>
  </si>
  <si>
    <t>納品スタイル（格納or添付）</t>
    <phoneticPr fontId="14"/>
  </si>
  <si>
    <t>プルダウン（10：格納、20：添付）</t>
    <rPh sb="9" eb="11">
      <t>カクノウ</t>
    </rPh>
    <rPh sb="15" eb="17">
      <t>テンプ</t>
    </rPh>
    <phoneticPr fontId="14"/>
  </si>
  <si>
    <t>　納品格納先指定</t>
    <rPh sb="1" eb="3">
      <t>ノウヒン</t>
    </rPh>
    <rPh sb="3" eb="5">
      <t>カクノウ</t>
    </rPh>
    <rPh sb="5" eb="8">
      <t>サキシテイ</t>
    </rPh>
    <phoneticPr fontId="14"/>
  </si>
  <si>
    <t>プルダウン（10：アドホック、20：ルーチン）</t>
    <phoneticPr fontId="14"/>
  </si>
  <si>
    <t>日付 yyyy/MM/dd形式</t>
    <rPh sb="0" eb="2">
      <t>ヒヅケ</t>
    </rPh>
    <rPh sb="13" eb="15">
      <t>ケイシキ</t>
    </rPh>
    <phoneticPr fontId="14"/>
  </si>
  <si>
    <t>数値</t>
    <rPh sb="0" eb="2">
      <t>スウチ</t>
    </rPh>
    <phoneticPr fontId="14"/>
  </si>
  <si>
    <t>日付 -&gt; カンマ区切り yyyy/MM/dd形式</t>
    <rPh sb="0" eb="2">
      <t>ヒヅケ</t>
    </rPh>
    <rPh sb="9" eb="11">
      <t>クギ</t>
    </rPh>
    <rPh sb="23" eb="25">
      <t>ケイシキ</t>
    </rPh>
    <phoneticPr fontId="14"/>
  </si>
  <si>
    <t>10：入稿掲載確認、20：入稿BPO、30：レポートBPO</t>
    <rPh sb="3" eb="5">
      <t>ニュウコウ</t>
    </rPh>
    <rPh sb="5" eb="7">
      <t>ケイサイ</t>
    </rPh>
    <rPh sb="7" eb="9">
      <t>カクニン</t>
    </rPh>
    <rPh sb="13" eb="15">
      <t>ニュウコウ</t>
    </rPh>
    <phoneticPr fontId="14"/>
  </si>
  <si>
    <t>媒体</t>
    <rPh sb="0" eb="2">
      <t>バイタイ</t>
    </rPh>
    <phoneticPr fontId="12"/>
  </si>
  <si>
    <t>キャンペーン名</t>
    <rPh sb="6" eb="7">
      <t>メイ</t>
    </rPh>
    <phoneticPr fontId="14"/>
  </si>
  <si>
    <t>広告グループ</t>
    <rPh sb="0" eb="6">
      <t>コウコ</t>
    </rPh>
    <phoneticPr fontId="14"/>
  </si>
  <si>
    <t>-</t>
    <phoneticPr fontId="20"/>
  </si>
  <si>
    <t>C</t>
    <phoneticPr fontId="20"/>
  </si>
  <si>
    <t>オプション</t>
    <phoneticPr fontId="20"/>
  </si>
  <si>
    <t>キーワード</t>
    <phoneticPr fontId="20"/>
  </si>
  <si>
    <t>Google</t>
    <phoneticPr fontId="20"/>
  </si>
  <si>
    <t>Yahoo!</t>
    <phoneticPr fontId="20"/>
  </si>
  <si>
    <t>平出貴昭</t>
    <rPh sb="0" eb="2">
      <t>ヒライデ</t>
    </rPh>
    <rPh sb="2" eb="4">
      <t>タカアキ</t>
    </rPh>
    <phoneticPr fontId="20"/>
  </si>
  <si>
    <t>WrikeManager用に新規作成/標準モジュール(名称：TextJoinModule)を新規作成</t>
  </si>
  <si>
    <t>WrikeManager用に新規作成</t>
    <rPh sb="12" eb="13">
      <t>ヨウ</t>
    </rPh>
    <rPh sb="14" eb="16">
      <t>シンキ</t>
    </rPh>
    <rPh sb="16" eb="18">
      <t>サクセイ</t>
    </rPh>
    <phoneticPr fontId="8"/>
  </si>
  <si>
    <t>WM用入力シート</t>
    <rPh sb="2" eb="3">
      <t>ヨウ</t>
    </rPh>
    <rPh sb="3" eb="5">
      <t>ニュウリョク</t>
    </rPh>
    <phoneticPr fontId="20"/>
  </si>
  <si>
    <t>WM用入力シート/system</t>
    <rPh sb="2" eb="3">
      <t>ヨウ</t>
    </rPh>
    <rPh sb="3" eb="5">
      <t>ニュウリョク</t>
    </rPh>
    <phoneticPr fontId="20"/>
  </si>
  <si>
    <t>必須チェック/必須マスタ</t>
    <rPh sb="0" eb="2">
      <t>ヒッス</t>
    </rPh>
    <rPh sb="7" eb="9">
      <t>ヒッス</t>
    </rPh>
    <phoneticPr fontId="20"/>
  </si>
  <si>
    <t>保存時チェック機能を追加</t>
    <rPh sb="0" eb="2">
      <t>ホゾン</t>
    </rPh>
    <rPh sb="2" eb="3">
      <t>ジ</t>
    </rPh>
    <rPh sb="7" eb="9">
      <t>キノウ</t>
    </rPh>
    <rPh sb="10" eb="12">
      <t>ツイカ</t>
    </rPh>
    <phoneticPr fontId="20"/>
  </si>
  <si>
    <t>「フロント必須チェック」&amp;「コンサル必須チェック」機能及び入稿本数カウント機能を追加</t>
    <rPh sb="5" eb="7">
      <t>ヒッス</t>
    </rPh>
    <rPh sb="18" eb="20">
      <t>ヒッス</t>
    </rPh>
    <rPh sb="25" eb="27">
      <t>キノウ</t>
    </rPh>
    <rPh sb="27" eb="28">
      <t>オヨ</t>
    </rPh>
    <rPh sb="29" eb="31">
      <t>ニュウコウ</t>
    </rPh>
    <rPh sb="31" eb="33">
      <t>ホンスウ</t>
    </rPh>
    <rPh sb="37" eb="39">
      <t>キノウ</t>
    </rPh>
    <rPh sb="40" eb="42">
      <t>ツイカ</t>
    </rPh>
    <phoneticPr fontId="20"/>
  </si>
  <si>
    <t>必須チェック対象シート</t>
    <rPh sb="0" eb="2">
      <t>ヒッス</t>
    </rPh>
    <rPh sb="6" eb="8">
      <t>タイショウ</t>
    </rPh>
    <phoneticPr fontId="20"/>
  </si>
  <si>
    <t>-</t>
    <phoneticPr fontId="20"/>
  </si>
  <si>
    <t>ビーコン機能（「フロント必須チェック」&amp;「コンサル必須チェック」のモニタリング用ログ出力機能）</t>
    <rPh sb="4" eb="6">
      <t>キノウ</t>
    </rPh>
    <rPh sb="12" eb="14">
      <t>ヒッス</t>
    </rPh>
    <rPh sb="25" eb="27">
      <t>ヒッス</t>
    </rPh>
    <rPh sb="39" eb="40">
      <t>ヨウ</t>
    </rPh>
    <rPh sb="42" eb="44">
      <t>シュツリョク</t>
    </rPh>
    <rPh sb="44" eb="46">
      <t>キノウ</t>
    </rPh>
    <phoneticPr fontId="20"/>
  </si>
  <si>
    <t>WM用入力シート</t>
  </si>
  <si>
    <t>[ルーチン:終了日]に[ルーチン:初期納期]より過去の日付を入力不可へ変更（ver.04）</t>
    <rPh sb="32" eb="34">
      <t>フカ</t>
    </rPh>
    <rPh sb="35" eb="37">
      <t>ヘンコウ</t>
    </rPh>
    <phoneticPr fontId="8"/>
  </si>
  <si>
    <t>Ver.7.1.0</t>
    <phoneticPr fontId="20"/>
  </si>
  <si>
    <t>条件付き書式を修正しました。</t>
    <rPh sb="0" eb="2">
      <t>ジョウケン</t>
    </rPh>
    <rPh sb="2" eb="3">
      <t>ツ</t>
    </rPh>
    <rPh sb="4" eb="6">
      <t>ショシキ</t>
    </rPh>
    <rPh sb="7" eb="9">
      <t>シュウセイ</t>
    </rPh>
    <phoneticPr fontId="20"/>
  </si>
  <si>
    <t>マークアップ率</t>
    <rPh sb="6" eb="7">
      <t>リツ</t>
    </rPh>
    <phoneticPr fontId="14"/>
  </si>
  <si>
    <t>■レスポンシブ検索広告(β)</t>
    <rPh sb="7" eb="9">
      <t>ケンサク</t>
    </rPh>
    <rPh sb="9" eb="11">
      <t>コウコク</t>
    </rPh>
    <phoneticPr fontId="14"/>
  </si>
  <si>
    <t>▼不使用記号：
タイトルへの感嘆符使用、説明文内での感嘆符連続使用（空けて2回とかもNG）、半角「/」</t>
    <phoneticPr fontId="14"/>
  </si>
  <si>
    <t>キャンペーン</t>
    <phoneticPr fontId="16"/>
  </si>
  <si>
    <t>ラベル</t>
  </si>
  <si>
    <t>アセット</t>
  </si>
  <si>
    <t>広告の見出し
※最低5以上・最大15</t>
    <rPh sb="0" eb="2">
      <t>コウコク</t>
    </rPh>
    <rPh sb="3" eb="5">
      <t>ミダ</t>
    </rPh>
    <rPh sb="8" eb="10">
      <t>サイテイ</t>
    </rPh>
    <rPh sb="11" eb="13">
      <t>イジョウ</t>
    </rPh>
    <rPh sb="14" eb="16">
      <t>サイダイ</t>
    </rPh>
    <phoneticPr fontId="14"/>
  </si>
  <si>
    <t>見出し_位置</t>
    <rPh sb="0" eb="2">
      <t>ミダ</t>
    </rPh>
    <rPh sb="4" eb="6">
      <t>イチ</t>
    </rPh>
    <phoneticPr fontId="20"/>
  </si>
  <si>
    <t>説明文
※最低2・最大4</t>
    <rPh sb="0" eb="2">
      <t>セツメイ</t>
    </rPh>
    <rPh sb="2" eb="3">
      <t>ブン</t>
    </rPh>
    <rPh sb="5" eb="7">
      <t>サイテイ</t>
    </rPh>
    <rPh sb="9" eb="11">
      <t>サイダイ</t>
    </rPh>
    <phoneticPr fontId="20"/>
  </si>
  <si>
    <t>説明文_位置</t>
    <rPh sb="0" eb="3">
      <t>セツメイブン</t>
    </rPh>
    <rPh sb="4" eb="6">
      <t>イチ</t>
    </rPh>
    <phoneticPr fontId="20"/>
  </si>
  <si>
    <t>Google：パス</t>
    <phoneticPr fontId="14"/>
  </si>
  <si>
    <t>Google：パス1</t>
    <phoneticPr fontId="14"/>
  </si>
  <si>
    <t>Google：パス2</t>
    <phoneticPr fontId="14"/>
  </si>
  <si>
    <t>トラッキング
テンプレート</t>
    <phoneticPr fontId="14"/>
  </si>
  <si>
    <t>カスタムパラメータ</t>
    <phoneticPr fontId="14"/>
  </si>
  <si>
    <t>-</t>
    <phoneticPr fontId="20"/>
  </si>
  <si>
    <t>メニュー</t>
  </si>
  <si>
    <t>キャンペーン・広告グループ</t>
    <rPh sb="7" eb="9">
      <t>コウコク</t>
    </rPh>
    <phoneticPr fontId="16"/>
  </si>
  <si>
    <t>キーワード</t>
    <phoneticPr fontId="16"/>
  </si>
  <si>
    <t>レスポンシブ検索(β)</t>
    <phoneticPr fontId="14"/>
  </si>
  <si>
    <t>広告表示オプション</t>
    <rPh sb="0" eb="2">
      <t>コウコク</t>
    </rPh>
    <rPh sb="2" eb="4">
      <t>ヒョウジ</t>
    </rPh>
    <phoneticPr fontId="16"/>
  </si>
  <si>
    <t>ユーザーリスト（単体）</t>
    <phoneticPr fontId="16"/>
  </si>
  <si>
    <t>ターゲティング（関連付け）</t>
  </si>
  <si>
    <t>地域設定</t>
    <rPh sb="0" eb="2">
      <t>チイキ</t>
    </rPh>
    <rPh sb="2" eb="4">
      <t>セッテイ</t>
    </rPh>
    <phoneticPr fontId="16"/>
  </si>
  <si>
    <t>時間設定</t>
    <phoneticPr fontId="16"/>
  </si>
  <si>
    <t>G</t>
    <phoneticPr fontId="16"/>
  </si>
  <si>
    <t>Y</t>
    <phoneticPr fontId="16"/>
  </si>
  <si>
    <t>時間設定</t>
  </si>
  <si>
    <t>フィー方式</t>
    <phoneticPr fontId="16"/>
  </si>
  <si>
    <t>KPI</t>
    <phoneticPr fontId="16"/>
  </si>
  <si>
    <t>CVタグ発行</t>
    <rPh sb="4" eb="6">
      <t>ハッコウ</t>
    </rPh>
    <phoneticPr fontId="4"/>
  </si>
  <si>
    <t>RMタグ発行</t>
    <rPh sb="4" eb="6">
      <t>ハッコウ</t>
    </rPh>
    <phoneticPr fontId="4"/>
  </si>
  <si>
    <t>G_入札戦略</t>
    <rPh sb="2" eb="4">
      <t>ニュウサツ</t>
    </rPh>
    <rPh sb="4" eb="6">
      <t>センリャク</t>
    </rPh>
    <phoneticPr fontId="15"/>
  </si>
  <si>
    <t>Y_入札戦略</t>
    <rPh sb="2" eb="4">
      <t>ニュウサツ</t>
    </rPh>
    <rPh sb="4" eb="6">
      <t>センリャク</t>
    </rPh>
    <phoneticPr fontId="15"/>
  </si>
  <si>
    <t>拡張CPC</t>
    <rPh sb="0" eb="2">
      <t>カクチョウ</t>
    </rPh>
    <phoneticPr fontId="4"/>
  </si>
  <si>
    <t>G_キャンペーンタイプ</t>
    <phoneticPr fontId="20"/>
  </si>
  <si>
    <t>Y_キャンペーンタイプ</t>
    <phoneticPr fontId="20"/>
  </si>
  <si>
    <t>G_配信方法</t>
    <rPh sb="2" eb="4">
      <t>ハイシン</t>
    </rPh>
    <rPh sb="4" eb="6">
      <t>ホウホウ</t>
    </rPh>
    <phoneticPr fontId="16"/>
  </si>
  <si>
    <t>Y_配信方法</t>
    <rPh sb="2" eb="4">
      <t>ハイシン</t>
    </rPh>
    <rPh sb="4" eb="6">
      <t>ホウホウ</t>
    </rPh>
    <phoneticPr fontId="16"/>
  </si>
  <si>
    <t>G_広告配信最適化</t>
    <rPh sb="4" eb="6">
      <t>ハイシン</t>
    </rPh>
    <rPh sb="6" eb="9">
      <t>サイテキカ</t>
    </rPh>
    <phoneticPr fontId="14"/>
  </si>
  <si>
    <t>Y_広告配信最適化</t>
    <rPh sb="4" eb="6">
      <t>ハイシン</t>
    </rPh>
    <rPh sb="6" eb="9">
      <t>サイテキカ</t>
    </rPh>
    <phoneticPr fontId="14"/>
  </si>
  <si>
    <t>ターゲット地域の詳細設定</t>
    <phoneticPr fontId="16"/>
  </si>
  <si>
    <t>除外用_ターゲット地域の詳細設定</t>
    <rPh sb="0" eb="2">
      <t>ジョガイ</t>
    </rPh>
    <rPh sb="2" eb="3">
      <t>ヨウ</t>
    </rPh>
    <phoneticPr fontId="16"/>
  </si>
  <si>
    <t>見出し位置</t>
    <rPh sb="0" eb="2">
      <t>ミダ</t>
    </rPh>
    <rPh sb="3" eb="5">
      <t>イチ</t>
    </rPh>
    <phoneticPr fontId="14"/>
  </si>
  <si>
    <t>G_設定粒度</t>
    <rPh sb="2" eb="4">
      <t>セッテイ</t>
    </rPh>
    <rPh sb="4" eb="6">
      <t>リュウド</t>
    </rPh>
    <phoneticPr fontId="16"/>
  </si>
  <si>
    <t>Y_設定粒度</t>
    <rPh sb="2" eb="4">
      <t>セッテイ</t>
    </rPh>
    <rPh sb="4" eb="6">
      <t>リュウド</t>
    </rPh>
    <phoneticPr fontId="16"/>
  </si>
  <si>
    <t>構造化スニペットラベル</t>
    <phoneticPr fontId="16"/>
  </si>
  <si>
    <t>広告表示_言語</t>
    <rPh sb="0" eb="2">
      <t>コウコク</t>
    </rPh>
    <rPh sb="2" eb="4">
      <t>ヒョウジ</t>
    </rPh>
    <rPh sb="5" eb="7">
      <t>ゲンゴ</t>
    </rPh>
    <phoneticPr fontId="16"/>
  </si>
  <si>
    <t>広告表示_タイプ</t>
    <rPh sb="0" eb="2">
      <t>コウコク</t>
    </rPh>
    <rPh sb="2" eb="4">
      <t>ヒョウジ</t>
    </rPh>
    <phoneticPr fontId="16"/>
  </si>
  <si>
    <t>ユニット</t>
    <phoneticPr fontId="16"/>
  </si>
  <si>
    <t>OS</t>
    <phoneticPr fontId="16"/>
  </si>
  <si>
    <t>デバイス※SPのみの場合</t>
    <rPh sb="10" eb="12">
      <t>バアイ</t>
    </rPh>
    <phoneticPr fontId="16"/>
  </si>
  <si>
    <t>ユーザーリスト_タイプ</t>
    <phoneticPr fontId="20"/>
  </si>
  <si>
    <t>タグソース</t>
    <phoneticPr fontId="16"/>
  </si>
  <si>
    <t>オーディエンスの初期サイズ</t>
    <phoneticPr fontId="16"/>
  </si>
  <si>
    <t>URL</t>
    <phoneticPr fontId="16"/>
  </si>
  <si>
    <t>AND</t>
    <phoneticPr fontId="16"/>
  </si>
  <si>
    <t>入札単価調整比</t>
    <phoneticPr fontId="16"/>
  </si>
  <si>
    <t>G_年齢</t>
    <rPh sb="2" eb="4">
      <t>ネンレイ</t>
    </rPh>
    <phoneticPr fontId="16"/>
  </si>
  <si>
    <t>G_曜日</t>
    <rPh sb="2" eb="4">
      <t>ヨウビ</t>
    </rPh>
    <phoneticPr fontId="16"/>
  </si>
  <si>
    <t>Y_曜日</t>
    <rPh sb="2" eb="4">
      <t>ヨウビ</t>
    </rPh>
    <phoneticPr fontId="16"/>
  </si>
  <si>
    <t>ピン留め指定のない位置に表示</t>
    <phoneticPr fontId="14"/>
  </si>
  <si>
    <t>固定指定のない位置に表示</t>
  </si>
  <si>
    <t>クリック数の最大化</t>
    <rPh sb="4" eb="5">
      <t>スウ</t>
    </rPh>
    <rPh sb="6" eb="9">
      <t>サイダイカ</t>
    </rPh>
    <phoneticPr fontId="4"/>
  </si>
  <si>
    <t>有</t>
    <rPh sb="0" eb="1">
      <t>ア</t>
    </rPh>
    <phoneticPr fontId="4"/>
  </si>
  <si>
    <t>可</t>
    <rPh sb="0" eb="1">
      <t>カ</t>
    </rPh>
    <phoneticPr fontId="4"/>
  </si>
  <si>
    <t>Google</t>
    <phoneticPr fontId="16"/>
  </si>
  <si>
    <t>検索を含むすべての広告掲載方式</t>
    <phoneticPr fontId="16"/>
  </si>
  <si>
    <t>1日の中で均等に広告表示</t>
    <phoneticPr fontId="16"/>
  </si>
  <si>
    <t>PC</t>
    <phoneticPr fontId="20"/>
  </si>
  <si>
    <t>ターゲット地域にいるユーザー、ターゲット地域に関する情報を検索しているユーザー、またはターゲット地域に関心を示しているユーザー</t>
    <phoneticPr fontId="16"/>
  </si>
  <si>
    <t>除外地域にいるユーザー、除外地域に関する情報を検索しているユーザー、または除外地域に関心を示しているユーザー</t>
    <phoneticPr fontId="16"/>
  </si>
  <si>
    <t>ターゲティング</t>
    <phoneticPr fontId="16"/>
  </si>
  <si>
    <t>ターゲットリストのユーザー</t>
    <phoneticPr fontId="16"/>
  </si>
  <si>
    <t>1 番の位置のみに表示</t>
    <phoneticPr fontId="14"/>
  </si>
  <si>
    <t>アカウント</t>
    <phoneticPr fontId="16"/>
  </si>
  <si>
    <t>おすすめのホテル</t>
    <phoneticPr fontId="20"/>
  </si>
  <si>
    <t>ブランド</t>
    <phoneticPr fontId="16"/>
  </si>
  <si>
    <t>○</t>
    <phoneticPr fontId="16"/>
  </si>
  <si>
    <t>なし</t>
    <phoneticPr fontId="16"/>
  </si>
  <si>
    <t>JPY</t>
    <phoneticPr fontId="16"/>
  </si>
  <si>
    <t>ウェブサイトを訪れたユーザー</t>
    <phoneticPr fontId="16"/>
  </si>
  <si>
    <t>チャンネルの動画を視聴</t>
    <phoneticPr fontId="16"/>
  </si>
  <si>
    <t>MCC アカウント</t>
    <phoneticPr fontId="16"/>
  </si>
  <si>
    <t>過去 30 日間のユーザーを含める</t>
    <phoneticPr fontId="16"/>
  </si>
  <si>
    <t>URL</t>
    <phoneticPr fontId="16"/>
  </si>
  <si>
    <t>URL</t>
    <phoneticPr fontId="16"/>
  </si>
  <si>
    <t>月曜日</t>
    <rPh sb="0" eb="3">
      <t>ゲツヨウビ</t>
    </rPh>
    <phoneticPr fontId="4"/>
  </si>
  <si>
    <t>CVの最大化</t>
    <rPh sb="3" eb="6">
      <t>サイダイカ</t>
    </rPh>
    <phoneticPr fontId="4"/>
  </si>
  <si>
    <t>無</t>
    <rPh sb="0" eb="1">
      <t>ナ</t>
    </rPh>
    <phoneticPr fontId="4"/>
  </si>
  <si>
    <t>否</t>
    <rPh sb="0" eb="1">
      <t>ヒ</t>
    </rPh>
    <phoneticPr fontId="4"/>
  </si>
  <si>
    <t>検索のみ</t>
    <phoneticPr fontId="16"/>
  </si>
  <si>
    <t>できるだけ早い時間帯に広告表示</t>
    <phoneticPr fontId="16"/>
  </si>
  <si>
    <t>タブレット</t>
    <phoneticPr fontId="20"/>
  </si>
  <si>
    <t>ターゲット地域にいるユーザー</t>
    <phoneticPr fontId="16"/>
  </si>
  <si>
    <t>除外ターゲット地域にいるユーザー</t>
    <phoneticPr fontId="16"/>
  </si>
  <si>
    <t>モニタリング</t>
    <phoneticPr fontId="16"/>
  </si>
  <si>
    <t>2 番の位置のみに表示</t>
    <phoneticPr fontId="14"/>
  </si>
  <si>
    <t>キャンペーン</t>
    <phoneticPr fontId="16"/>
  </si>
  <si>
    <t>コース</t>
    <phoneticPr fontId="20"/>
  </si>
  <si>
    <t>イベント</t>
    <phoneticPr fontId="16"/>
  </si>
  <si>
    <t>ARS</t>
    <phoneticPr fontId="16"/>
  </si>
  <si>
    <t>YouTube ユーザー</t>
    <phoneticPr fontId="16"/>
  </si>
  <si>
    <t>特定の動画を視聴</t>
    <phoneticPr fontId="16"/>
  </si>
  <si>
    <t>このアカウント</t>
    <phoneticPr fontId="16"/>
  </si>
  <si>
    <t>ユーザーを含まない状態で開始する</t>
    <phoneticPr fontId="16"/>
  </si>
  <si>
    <t>上位 10%</t>
    <phoneticPr fontId="16"/>
  </si>
  <si>
    <t>カテゴリ</t>
    <phoneticPr fontId="16"/>
  </si>
  <si>
    <t>火曜日</t>
    <rPh sb="0" eb="3">
      <t>カヨウビ</t>
    </rPh>
    <phoneticPr fontId="4"/>
  </si>
  <si>
    <t>外掛け</t>
    <rPh sb="0" eb="2">
      <t>ソトガ</t>
    </rPh>
    <phoneticPr fontId="4"/>
  </si>
  <si>
    <t>収益の最大化</t>
    <rPh sb="0" eb="2">
      <t>シュウエキ</t>
    </rPh>
    <rPh sb="3" eb="6">
      <t>サイダイカ</t>
    </rPh>
    <phoneticPr fontId="4"/>
  </si>
  <si>
    <t>削除</t>
    <rPh sb="0" eb="2">
      <t>サクジョ</t>
    </rPh>
    <phoneticPr fontId="16"/>
  </si>
  <si>
    <t>アプリダウンロードキャンペーン</t>
    <phoneticPr fontId="16"/>
  </si>
  <si>
    <t>スマートフォン</t>
    <phoneticPr fontId="20"/>
  </si>
  <si>
    <t>ターゲット地域を検索しているユーザー</t>
    <phoneticPr fontId="16"/>
  </si>
  <si>
    <t>3 番の位置のみに表示</t>
    <phoneticPr fontId="14"/>
  </si>
  <si>
    <t>サービス</t>
    <phoneticPr fontId="20"/>
  </si>
  <si>
    <t>バレンタインデー</t>
    <phoneticPr fontId="16"/>
  </si>
  <si>
    <t>AUD</t>
    <phoneticPr fontId="16"/>
  </si>
  <si>
    <t>プロモーションコード</t>
    <phoneticPr fontId="16"/>
  </si>
  <si>
    <t>ページを訪問したユーザー（別のページは訪問していないユーザー）</t>
    <phoneticPr fontId="16"/>
  </si>
  <si>
    <t>チャンネルの動画を広告として視聴</t>
    <phoneticPr fontId="16"/>
  </si>
  <si>
    <t>11～20%</t>
    <phoneticPr fontId="16"/>
  </si>
  <si>
    <t>ページコンテンツ</t>
    <phoneticPr fontId="16"/>
  </si>
  <si>
    <t>水曜日</t>
    <rPh sb="0" eb="3">
      <t>スイヨウビ</t>
    </rPh>
    <phoneticPr fontId="4"/>
  </si>
  <si>
    <t>上位表示</t>
    <rPh sb="0" eb="2">
      <t>ジョウイ</t>
    </rPh>
    <rPh sb="2" eb="4">
      <t>ヒョウジ</t>
    </rPh>
    <phoneticPr fontId="4"/>
  </si>
  <si>
    <t>PC｜スマートフォン</t>
    <phoneticPr fontId="20"/>
  </si>
  <si>
    <t>スタイル</t>
    <phoneticPr fontId="20"/>
  </si>
  <si>
    <t>イースター</t>
    <phoneticPr fontId="16"/>
  </si>
  <si>
    <t>BOB</t>
    <phoneticPr fontId="16"/>
  </si>
  <si>
    <t>特定の期間内にページを訪問したユーザー</t>
    <phoneticPr fontId="16"/>
  </si>
  <si>
    <t>特定の動画を広告として視聴</t>
    <phoneticPr fontId="16"/>
  </si>
  <si>
    <t>21～30%</t>
    <phoneticPr fontId="16"/>
  </si>
  <si>
    <t>ページタイトル</t>
    <phoneticPr fontId="16"/>
  </si>
  <si>
    <t>カスタムラベル</t>
    <phoneticPr fontId="16"/>
  </si>
  <si>
    <t>木曜日</t>
    <rPh sb="0" eb="3">
      <t>モクヨウビ</t>
    </rPh>
    <phoneticPr fontId="4"/>
  </si>
  <si>
    <t>PC｜タブレット</t>
    <phoneticPr fontId="20"/>
  </si>
  <si>
    <t>タイプ</t>
    <phoneticPr fontId="20"/>
  </si>
  <si>
    <t>BRL</t>
    <phoneticPr fontId="16"/>
  </si>
  <si>
    <t>特定のタグがあるページを訪問したユーザー</t>
    <phoneticPr fontId="16"/>
  </si>
  <si>
    <t>チャンネル登録</t>
    <phoneticPr fontId="16"/>
  </si>
  <si>
    <t>31～40%</t>
    <phoneticPr fontId="16"/>
  </si>
  <si>
    <t>金曜日</t>
    <rPh sb="0" eb="3">
      <t>キンヨウビ</t>
    </rPh>
    <phoneticPr fontId="4"/>
  </si>
  <si>
    <t>PC｜タブレット｜スマートフォン</t>
    <phoneticPr fontId="20"/>
  </si>
  <si>
    <t>ブランド</t>
    <phoneticPr fontId="20"/>
  </si>
  <si>
    <t>CAD</t>
    <phoneticPr fontId="16"/>
  </si>
  <si>
    <t>チャンネル ページにアクセス</t>
    <phoneticPr fontId="16"/>
  </si>
  <si>
    <t>41～50%</t>
    <phoneticPr fontId="16"/>
  </si>
  <si>
    <t>土曜日</t>
    <rPh sb="0" eb="3">
      <t>ドヨウビ</t>
    </rPh>
    <phoneticPr fontId="4"/>
  </si>
  <si>
    <t>タブレット｜スマートフォン</t>
    <phoneticPr fontId="20"/>
  </si>
  <si>
    <t>モデル</t>
    <phoneticPr fontId="20"/>
  </si>
  <si>
    <t>サービスのカテゴリ</t>
    <phoneticPr fontId="16"/>
  </si>
  <si>
    <t>レイバーデー</t>
    <phoneticPr fontId="16"/>
  </si>
  <si>
    <t>CHF</t>
    <phoneticPr fontId="16"/>
  </si>
  <si>
    <t>チャンネルの動画を高く評価</t>
    <phoneticPr fontId="16"/>
  </si>
  <si>
    <t>下位 50%</t>
    <phoneticPr fontId="16"/>
  </si>
  <si>
    <t>日曜日</t>
    <rPh sb="0" eb="3">
      <t>ニチヨウビ</t>
    </rPh>
    <phoneticPr fontId="4"/>
  </si>
  <si>
    <t>サービスのバリエーション</t>
    <phoneticPr fontId="16"/>
  </si>
  <si>
    <t>CLP</t>
    <phoneticPr fontId="16"/>
  </si>
  <si>
    <t>チャンネルの動画を再生リストに追加</t>
    <phoneticPr fontId="16"/>
  </si>
  <si>
    <t>サービス</t>
    <phoneticPr fontId="16"/>
  </si>
  <si>
    <t>ハロウィーン</t>
    <phoneticPr fontId="16"/>
  </si>
  <si>
    <t>COP</t>
    <phoneticPr fontId="16"/>
  </si>
  <si>
    <t>チャンネルの動画にコメントを追加</t>
    <phoneticPr fontId="16"/>
  </si>
  <si>
    <t>ブラックフライデー</t>
    <phoneticPr fontId="16"/>
  </si>
  <si>
    <t>EUR</t>
    <phoneticPr fontId="16"/>
  </si>
  <si>
    <t>チャンネルの動画を共有</t>
    <phoneticPr fontId="16"/>
  </si>
  <si>
    <t>サイバーマンデー</t>
    <phoneticPr fontId="16"/>
  </si>
  <si>
    <t>GBP</t>
    <phoneticPr fontId="16"/>
  </si>
  <si>
    <t>クリスマス</t>
    <phoneticPr fontId="16"/>
  </si>
  <si>
    <t>HKD</t>
    <phoneticPr fontId="16"/>
  </si>
  <si>
    <t>INR</t>
    <phoneticPr fontId="16"/>
  </si>
  <si>
    <t>MXN</t>
    <phoneticPr fontId="16"/>
  </si>
  <si>
    <t>NZD</t>
    <phoneticPr fontId="16"/>
  </si>
  <si>
    <t>PEN</t>
    <phoneticPr fontId="16"/>
  </si>
  <si>
    <t>PHP</t>
    <phoneticPr fontId="16"/>
  </si>
  <si>
    <t>PLN</t>
    <phoneticPr fontId="16"/>
  </si>
  <si>
    <t>RUB</t>
    <phoneticPr fontId="16"/>
  </si>
  <si>
    <t>SEK</t>
    <phoneticPr fontId="16"/>
  </si>
  <si>
    <t>SGD</t>
    <phoneticPr fontId="16"/>
  </si>
  <si>
    <t>USD</t>
    <phoneticPr fontId="16"/>
  </si>
  <si>
    <t>VEF</t>
    <phoneticPr fontId="16"/>
  </si>
  <si>
    <t>ZAR</t>
    <phoneticPr fontId="16"/>
  </si>
  <si>
    <t>入札方法</t>
    <phoneticPr fontId="20"/>
  </si>
  <si>
    <t>検索パートナーの有無</t>
    <rPh sb="0" eb="2">
      <t>ケンサク</t>
    </rPh>
    <rPh sb="8" eb="9">
      <t>ユウ</t>
    </rPh>
    <rPh sb="9" eb="10">
      <t>ム</t>
    </rPh>
    <phoneticPr fontId="16"/>
  </si>
  <si>
    <t>ターゲティングソース </t>
    <phoneticPr fontId="16"/>
  </si>
  <si>
    <t>リストに追加するユーザー※URL</t>
    <phoneticPr fontId="16"/>
  </si>
  <si>
    <t>リストに追加するユーザー※動画</t>
    <rPh sb="13" eb="15">
      <t>ドウガ</t>
    </rPh>
    <phoneticPr fontId="16"/>
  </si>
  <si>
    <t>アカウント設定情報</t>
    <rPh sb="5" eb="7">
      <t>セッテイ</t>
    </rPh>
    <rPh sb="7" eb="9">
      <t>ジョウホウ</t>
    </rPh>
    <phoneticPr fontId="20"/>
  </si>
  <si>
    <t>アカウント名、IDはコンサル必須⇒フロント必須に変更</t>
    <phoneticPr fontId="20"/>
  </si>
  <si>
    <t>鳥羽由里子</t>
    <rPh sb="0" eb="2">
      <t>トバ</t>
    </rPh>
    <rPh sb="2" eb="5">
      <t>ユリコ</t>
    </rPh>
    <phoneticPr fontId="20"/>
  </si>
  <si>
    <t>Yahoo!</t>
    <phoneticPr fontId="20"/>
  </si>
  <si>
    <t>G</t>
    <phoneticPr fontId="20"/>
  </si>
  <si>
    <t>Y</t>
    <phoneticPr fontId="20"/>
  </si>
  <si>
    <t>柔軟なリーチ※Adg単位</t>
    <phoneticPr fontId="16"/>
  </si>
  <si>
    <t>（広告グループ）</t>
    <rPh sb="1" eb="3">
      <t>コウコク</t>
    </rPh>
    <phoneticPr fontId="20"/>
  </si>
  <si>
    <t>広告グループ</t>
    <rPh sb="0" eb="2">
      <t>コウコク</t>
    </rPh>
    <phoneticPr fontId="20"/>
  </si>
  <si>
    <t>広告グループの種類</t>
    <rPh sb="0" eb="2">
      <t>コウコク</t>
    </rPh>
    <rPh sb="7" eb="9">
      <t>シュルイ</t>
    </rPh>
    <phoneticPr fontId="16"/>
  </si>
  <si>
    <t>標準</t>
    <rPh sb="0" eb="2">
      <t>ヒョウジュン</t>
    </rPh>
    <phoneticPr fontId="16"/>
  </si>
  <si>
    <t>動的広告</t>
    <rPh sb="0" eb="2">
      <t>ドウテキ</t>
    </rPh>
    <rPh sb="2" eb="4">
      <t>コウコク</t>
    </rPh>
    <phoneticPr fontId="16"/>
  </si>
  <si>
    <t>梶田</t>
    <rPh sb="0" eb="2">
      <t>カジタ</t>
    </rPh>
    <phoneticPr fontId="20"/>
  </si>
  <si>
    <t>文字数(パス)</t>
    <rPh sb="0" eb="3">
      <t>モジスウ</t>
    </rPh>
    <phoneticPr fontId="14"/>
  </si>
  <si>
    <t>「文字数」列が重複しているのでT,U列の「文字数」を「文字数(パス)」に変更※ロボ用</t>
    <rPh sb="41" eb="42">
      <t>ヨウ</t>
    </rPh>
    <phoneticPr fontId="20"/>
  </si>
  <si>
    <t>アドバリ用に備考欄を一列追加</t>
    <rPh sb="4" eb="5">
      <t>ヨウ</t>
    </rPh>
    <rPh sb="6" eb="8">
      <t>ビコウ</t>
    </rPh>
    <rPh sb="8" eb="9">
      <t>ラン</t>
    </rPh>
    <rPh sb="10" eb="11">
      <t>イチ</t>
    </rPh>
    <rPh sb="11" eb="12">
      <t>レツ</t>
    </rPh>
    <rPh sb="12" eb="14">
      <t>ツイカ</t>
    </rPh>
    <phoneticPr fontId="20"/>
  </si>
  <si>
    <t>説明文位置</t>
    <phoneticPr fontId="14"/>
  </si>
  <si>
    <t>訪問履歴の蓄積</t>
    <phoneticPr fontId="20"/>
  </si>
  <si>
    <t>蓄積する</t>
    <rPh sb="0" eb="2">
      <t>チクセキ</t>
    </rPh>
    <phoneticPr fontId="20"/>
  </si>
  <si>
    <t>蓄積しない</t>
    <rPh sb="0" eb="2">
      <t>チクセキ</t>
    </rPh>
    <phoneticPr fontId="20"/>
  </si>
  <si>
    <t>OR</t>
    <phoneticPr fontId="16"/>
  </si>
  <si>
    <t>入力規則</t>
    <phoneticPr fontId="20"/>
  </si>
  <si>
    <t>ユーザーリスト（組み合わせ）</t>
    <rPh sb="8" eb="9">
      <t>ク</t>
    </rPh>
    <rPh sb="10" eb="11">
      <t>ア</t>
    </rPh>
    <phoneticPr fontId="16"/>
  </si>
  <si>
    <t>入力規則</t>
    <phoneticPr fontId="20"/>
  </si>
  <si>
    <t>入力規則</t>
    <rPh sb="0" eb="2">
      <t>ニュウリョク</t>
    </rPh>
    <rPh sb="2" eb="4">
      <t>キソク</t>
    </rPh>
    <phoneticPr fontId="20"/>
  </si>
  <si>
    <t>リストに名前をつけた為、全シート内の入力規則のリスト関数を全て修正</t>
    <rPh sb="4" eb="6">
      <t>ナマエ</t>
    </rPh>
    <rPh sb="10" eb="11">
      <t>タメ</t>
    </rPh>
    <rPh sb="12" eb="13">
      <t>ゼン</t>
    </rPh>
    <rPh sb="16" eb="17">
      <t>ウチ</t>
    </rPh>
    <rPh sb="18" eb="20">
      <t>ニュウリョク</t>
    </rPh>
    <rPh sb="20" eb="22">
      <t>キソク</t>
    </rPh>
    <rPh sb="26" eb="28">
      <t>カンスウ</t>
    </rPh>
    <rPh sb="29" eb="30">
      <t>スベ</t>
    </rPh>
    <rPh sb="31" eb="33">
      <t>シュウセイ</t>
    </rPh>
    <phoneticPr fontId="20"/>
  </si>
  <si>
    <t>備考
※アドバリなど</t>
    <rPh sb="0" eb="2">
      <t>ビコウ</t>
    </rPh>
    <phoneticPr fontId="20"/>
  </si>
  <si>
    <t>マークアップ方式の計算式へ変更</t>
    <rPh sb="6" eb="8">
      <t>ホウシキ</t>
    </rPh>
    <rPh sb="9" eb="11">
      <t>ケイサン</t>
    </rPh>
    <rPh sb="11" eb="12">
      <t>シキ</t>
    </rPh>
    <rPh sb="13" eb="15">
      <t>ヘンコウ</t>
    </rPh>
    <phoneticPr fontId="20"/>
  </si>
  <si>
    <t>広告グループ</t>
    <rPh sb="0" eb="2">
      <t>コウコク</t>
    </rPh>
    <phoneticPr fontId="20"/>
  </si>
  <si>
    <t>ステータス</t>
    <phoneticPr fontId="20"/>
  </si>
  <si>
    <t>フィード名</t>
    <rPh sb="4" eb="5">
      <t>メイ</t>
    </rPh>
    <phoneticPr fontId="20"/>
  </si>
  <si>
    <t>新規</t>
    <rPh sb="0" eb="2">
      <t>シンキ</t>
    </rPh>
    <phoneticPr fontId="20"/>
  </si>
  <si>
    <t>追加</t>
    <rPh sb="0" eb="2">
      <t>ツイカ</t>
    </rPh>
    <phoneticPr fontId="20"/>
  </si>
  <si>
    <t>削除</t>
    <rPh sb="0" eb="2">
      <t>サクジョ</t>
    </rPh>
    <phoneticPr fontId="20"/>
  </si>
  <si>
    <t>カスタマイザフィード</t>
    <phoneticPr fontId="16"/>
  </si>
  <si>
    <t>■広告カスタマイザフィード</t>
    <rPh sb="1" eb="3">
      <t>コウコク</t>
    </rPh>
    <phoneticPr fontId="14"/>
  </si>
  <si>
    <t>置換</t>
    <rPh sb="0" eb="2">
      <t>オキカ</t>
    </rPh>
    <phoneticPr fontId="20"/>
  </si>
  <si>
    <t>日予算の関数を修正（GoogleにもRounddown追加）</t>
    <rPh sb="0" eb="1">
      <t>ヒ</t>
    </rPh>
    <rPh sb="1" eb="3">
      <t>ヨサン</t>
    </rPh>
    <rPh sb="4" eb="6">
      <t>カンスウ</t>
    </rPh>
    <rPh sb="7" eb="9">
      <t>シュウセイ</t>
    </rPh>
    <rPh sb="27" eb="29">
      <t>ツイカ</t>
    </rPh>
    <phoneticPr fontId="20"/>
  </si>
  <si>
    <t>広告カスタマイザフィード</t>
    <phoneticPr fontId="20"/>
  </si>
  <si>
    <t>シート追加</t>
    <rPh sb="3" eb="5">
      <t>ツイカ</t>
    </rPh>
    <phoneticPr fontId="20"/>
  </si>
  <si>
    <t>レスポンシブ検索(β)</t>
    <phoneticPr fontId="20"/>
  </si>
  <si>
    <t>アカウント設定情報</t>
    <phoneticPr fontId="20"/>
  </si>
  <si>
    <t>拡張テキスト</t>
    <phoneticPr fontId="20"/>
  </si>
  <si>
    <t>整理：重複項目や不要項目の削除＆並び替え、各リストに名前設定</t>
    <rPh sb="0" eb="2">
      <t>セイリ</t>
    </rPh>
    <rPh sb="3" eb="5">
      <t>チョウフク</t>
    </rPh>
    <rPh sb="5" eb="7">
      <t>コウモク</t>
    </rPh>
    <rPh sb="8" eb="10">
      <t>フヨウ</t>
    </rPh>
    <rPh sb="10" eb="12">
      <t>コウモク</t>
    </rPh>
    <rPh sb="13" eb="15">
      <t>サクジョ</t>
    </rPh>
    <rPh sb="16" eb="17">
      <t>ナラ</t>
    </rPh>
    <rPh sb="18" eb="19">
      <t>カ</t>
    </rPh>
    <rPh sb="21" eb="22">
      <t>カク</t>
    </rPh>
    <rPh sb="26" eb="28">
      <t>ナマエ</t>
    </rPh>
    <rPh sb="28" eb="30">
      <t>セッテイ</t>
    </rPh>
    <phoneticPr fontId="20"/>
  </si>
  <si>
    <t>キャンペーン</t>
    <phoneticPr fontId="20"/>
  </si>
  <si>
    <t>キャンペーン設定</t>
  </si>
  <si>
    <t>デフォルト設定</t>
    <phoneticPr fontId="20"/>
  </si>
  <si>
    <t>B列のセル結合を解除</t>
    <rPh sb="1" eb="2">
      <t>レツ</t>
    </rPh>
    <rPh sb="5" eb="7">
      <t>ケツゴウ</t>
    </rPh>
    <rPh sb="8" eb="10">
      <t>カイジョ</t>
    </rPh>
    <phoneticPr fontId="20"/>
  </si>
  <si>
    <t>デフォルト設定（ロボ）</t>
  </si>
  <si>
    <t>対象シート</t>
    <rPh sb="0" eb="2">
      <t>タイショウ</t>
    </rPh>
    <phoneticPr fontId="20"/>
  </si>
  <si>
    <t>設定項目</t>
  </si>
  <si>
    <t>Yahooリスティング</t>
  </si>
  <si>
    <t>Googleリスティング</t>
  </si>
  <si>
    <t>Google:検索パートナー
Yahoo:広告掲載方式の指定</t>
  </si>
  <si>
    <t>Google：柔軟なリーチ
Yahoo：配信対象のユーザー</t>
  </si>
  <si>
    <t>ロボ実行設定</t>
    <rPh sb="2" eb="4">
      <t>ジッコウ</t>
    </rPh>
    <rPh sb="4" eb="6">
      <t>セッテイ</t>
    </rPh>
    <phoneticPr fontId="61"/>
  </si>
  <si>
    <t>ユーザーリスト（単体）</t>
  </si>
  <si>
    <t>一番上に１行追加し、重複しないカラム名を白字で記載し非表示へ※ロボ用</t>
    <rPh sb="0" eb="2">
      <t>イチバン</t>
    </rPh>
    <rPh sb="2" eb="3">
      <t>ウエ</t>
    </rPh>
    <rPh sb="5" eb="6">
      <t>ギョウ</t>
    </rPh>
    <rPh sb="6" eb="8">
      <t>ツイカ</t>
    </rPh>
    <rPh sb="10" eb="12">
      <t>チョウフク</t>
    </rPh>
    <rPh sb="18" eb="19">
      <t>メイ</t>
    </rPh>
    <rPh sb="20" eb="21">
      <t>シロ</t>
    </rPh>
    <rPh sb="21" eb="22">
      <t>ジ</t>
    </rPh>
    <rPh sb="23" eb="25">
      <t>キサイ</t>
    </rPh>
    <rPh sb="26" eb="29">
      <t>ヒヒョウジ</t>
    </rPh>
    <rPh sb="33" eb="34">
      <t>ヨウ</t>
    </rPh>
    <phoneticPr fontId="19"/>
  </si>
  <si>
    <t>鳥羽由里子</t>
    <rPh sb="0" eb="2">
      <t>トバ</t>
    </rPh>
    <rPh sb="2" eb="5">
      <t>ユリコ</t>
    </rPh>
    <phoneticPr fontId="19"/>
  </si>
  <si>
    <t>#</t>
  </si>
  <si>
    <t>リストのメンバー</t>
  </si>
  <si>
    <t>Google:オーディエンスの初期サイズ
Yahoo:過去の訪問者の設定</t>
  </si>
  <si>
    <t>URL(1)</t>
    <phoneticPr fontId="20"/>
  </si>
  <si>
    <t>条件(1)</t>
    <rPh sb="0" eb="2">
      <t>ジョウケン</t>
    </rPh>
    <phoneticPr fontId="16"/>
  </si>
  <si>
    <t>add(1-1)</t>
    <phoneticPr fontId="20"/>
  </si>
  <si>
    <t>add(1-2)</t>
    <phoneticPr fontId="20"/>
  </si>
  <si>
    <t>add(1-3)</t>
    <phoneticPr fontId="20"/>
  </si>
  <si>
    <t>add(1-4)</t>
    <phoneticPr fontId="20"/>
  </si>
  <si>
    <t>URL(2)</t>
  </si>
  <si>
    <t>add(2-1)</t>
    <phoneticPr fontId="20"/>
  </si>
  <si>
    <t>URL(2-1)</t>
    <phoneticPr fontId="20"/>
  </si>
  <si>
    <t>条件(2-1)</t>
    <rPh sb="0" eb="2">
      <t>ジョウケン</t>
    </rPh>
    <phoneticPr fontId="16"/>
  </si>
  <si>
    <t>add(2-2)</t>
    <phoneticPr fontId="20"/>
  </si>
  <si>
    <t>URL(2-2)</t>
  </si>
  <si>
    <t>条件(2-2)</t>
    <rPh sb="0" eb="2">
      <t>ジョウケン</t>
    </rPh>
    <phoneticPr fontId="16"/>
  </si>
  <si>
    <t>add(2-3)</t>
  </si>
  <si>
    <t>URL(2-3)</t>
  </si>
  <si>
    <t>条件(2-3)</t>
    <rPh sb="0" eb="2">
      <t>ジョウケン</t>
    </rPh>
    <phoneticPr fontId="16"/>
  </si>
  <si>
    <t>add(2-4)</t>
  </si>
  <si>
    <t>URL(2-4)</t>
  </si>
  <si>
    <t>条件(2-4)</t>
    <rPh sb="0" eb="2">
      <t>ジョウケン</t>
    </rPh>
    <phoneticPr fontId="16"/>
  </si>
  <si>
    <t>URL(3)</t>
  </si>
  <si>
    <t>add(3-1)</t>
  </si>
  <si>
    <t>URL(3-1)</t>
  </si>
  <si>
    <t>条件(3-1)</t>
    <rPh sb="0" eb="2">
      <t>ジョウケン</t>
    </rPh>
    <phoneticPr fontId="16"/>
  </si>
  <si>
    <t>add(3-2)</t>
  </si>
  <si>
    <t>URL(3-2)</t>
  </si>
  <si>
    <t>条件(3-2)</t>
    <rPh sb="0" eb="2">
      <t>ジョウケン</t>
    </rPh>
    <phoneticPr fontId="16"/>
  </si>
  <si>
    <t>add(3-3)</t>
  </si>
  <si>
    <t>URL(3-3)</t>
  </si>
  <si>
    <t>条件(3-3)</t>
    <rPh sb="0" eb="2">
      <t>ジョウケン</t>
    </rPh>
    <phoneticPr fontId="16"/>
  </si>
  <si>
    <t>add(3-4)</t>
  </si>
  <si>
    <t>URL(3-4)</t>
  </si>
  <si>
    <t>条件(3-4)</t>
    <rPh sb="0" eb="2">
      <t>ジョウケン</t>
    </rPh>
    <phoneticPr fontId="16"/>
  </si>
  <si>
    <t>#</t>
    <phoneticPr fontId="14"/>
  </si>
  <si>
    <t>タイプ</t>
    <phoneticPr fontId="20"/>
  </si>
  <si>
    <t>リストのメンバー</t>
    <phoneticPr fontId="20"/>
  </si>
  <si>
    <t>Google:オーディエンスの初期サイズ
Yahoo:過去の訪問者の設定</t>
    <phoneticPr fontId="14"/>
  </si>
  <si>
    <t>URL(1)</t>
    <phoneticPr fontId="14"/>
  </si>
  <si>
    <t>＋</t>
    <phoneticPr fontId="14"/>
  </si>
  <si>
    <t>URL(2)</t>
    <phoneticPr fontId="14"/>
  </si>
  <si>
    <t>URL(3)</t>
    <phoneticPr fontId="14"/>
  </si>
  <si>
    <t>Ver.7.2.0</t>
    <phoneticPr fontId="20"/>
  </si>
  <si>
    <t>9行目：「マークアップ率」の「フロント必須」ラベル削除&amp;行を非表示</t>
    <phoneticPr fontId="20"/>
  </si>
  <si>
    <t>小川さやか</t>
    <rPh sb="0" eb="2">
      <t>オガワ</t>
    </rPh>
    <phoneticPr fontId="20"/>
  </si>
  <si>
    <t>Ver.7.2.0</t>
    <phoneticPr fontId="20"/>
  </si>
  <si>
    <t>20行目：「マークアップ率」の行を追加&amp;「フロント必須」ラベルの付与</t>
    <phoneticPr fontId="20"/>
  </si>
  <si>
    <t>キャンペーン</t>
    <phoneticPr fontId="20"/>
  </si>
  <si>
    <t>「キャンペーン予算」内の関数を変更</t>
    <phoneticPr fontId="20"/>
  </si>
  <si>
    <t>Ver.7.2.0</t>
  </si>
  <si>
    <t>地域</t>
    <rPh sb="0" eb="2">
      <t>チイキ</t>
    </rPh>
    <phoneticPr fontId="20"/>
  </si>
  <si>
    <t>※「I列」以降はデータセット名（「model」、「Type」）を適宜記載をしご利用下さい。</t>
    <rPh sb="14" eb="15">
      <t>メイ</t>
    </rPh>
    <rPh sb="32" eb="34">
      <t>テキギ</t>
    </rPh>
    <rPh sb="34" eb="36">
      <t>キサイ</t>
    </rPh>
    <rPh sb="39" eb="41">
      <t>リヨウ</t>
    </rPh>
    <rPh sb="41" eb="42">
      <t>クダ</t>
    </rPh>
    <phoneticPr fontId="20"/>
  </si>
  <si>
    <t>を含む</t>
    <rPh sb="1" eb="2">
      <t>フク</t>
    </rPh>
    <phoneticPr fontId="7"/>
  </si>
  <si>
    <t>と等しい</t>
    <rPh sb="1" eb="2">
      <t>ヒト</t>
    </rPh>
    <phoneticPr fontId="7"/>
  </si>
  <si>
    <t>で始まる</t>
    <rPh sb="1" eb="2">
      <t>ハジ</t>
    </rPh>
    <phoneticPr fontId="7"/>
  </si>
  <si>
    <t>で終わる</t>
    <rPh sb="1" eb="2">
      <t>オ</t>
    </rPh>
    <phoneticPr fontId="7"/>
  </si>
  <si>
    <t>を含まない</t>
    <rPh sb="1" eb="2">
      <t>フク</t>
    </rPh>
    <phoneticPr fontId="7"/>
  </si>
  <si>
    <t>と等しくない</t>
    <rPh sb="1" eb="2">
      <t>ヒト</t>
    </rPh>
    <phoneticPr fontId="7"/>
  </si>
  <si>
    <t>で始まらない</t>
    <rPh sb="1" eb="2">
      <t>ハジ</t>
    </rPh>
    <phoneticPr fontId="7"/>
  </si>
  <si>
    <t>で終わらない</t>
    <rPh sb="1" eb="2">
      <t>オ</t>
    </rPh>
    <phoneticPr fontId="7"/>
  </si>
  <si>
    <t>いずれかのターゲットリストに一致（OR）</t>
  </si>
  <si>
    <t>それぞれのターゲットリストに一致（AND）</t>
  </si>
  <si>
    <t>選択したターゲットリスト以外に一致</t>
  </si>
  <si>
    <t>配信設定なしまたはユーザーの所在地、検索キーワードに含まれる地域、ユーザーが関心を示している地域</t>
  </si>
  <si>
    <t>ユーザーの所在地</t>
  </si>
  <si>
    <t>検索キーワードに含まれる地域、ユーザーが関心を示している地域</t>
  </si>
  <si>
    <t>除外設定なしまたはユーザーの所在地</t>
  </si>
  <si>
    <t>配信設定なしまたはユーザーの所在地、検索キーワードに含まれる地域、ユーザーが関心を示している地域</t>
    <phoneticPr fontId="20"/>
  </si>
  <si>
    <t>URL(1-1)</t>
  </si>
  <si>
    <t>URL(1-2)</t>
  </si>
  <si>
    <t>URL(1-3)</t>
  </si>
  <si>
    <t>URL(1-4)</t>
  </si>
  <si>
    <t>条件(1-1)</t>
    <phoneticPr fontId="16"/>
  </si>
  <si>
    <t>条件(1-2)</t>
    <phoneticPr fontId="16"/>
  </si>
  <si>
    <t>条件(1-3)</t>
    <phoneticPr fontId="16"/>
  </si>
  <si>
    <t>条件(1-4)</t>
    <phoneticPr fontId="16"/>
  </si>
  <si>
    <t>G_マッチタイプ</t>
    <phoneticPr fontId="16"/>
  </si>
  <si>
    <t>Y_マッチタイプ</t>
    <phoneticPr fontId="16"/>
  </si>
  <si>
    <t>Exact</t>
  </si>
  <si>
    <t>Phrase</t>
  </si>
  <si>
    <t>Broad</t>
  </si>
  <si>
    <t>Ver.8.0.0</t>
    <phoneticPr fontId="20"/>
  </si>
  <si>
    <t>7行目：「マークアップの有無」を行削除</t>
    <rPh sb="1" eb="3">
      <t>ギョウメ</t>
    </rPh>
    <rPh sb="16" eb="17">
      <t>ギョウ</t>
    </rPh>
    <rPh sb="17" eb="19">
      <t>サクジョ</t>
    </rPh>
    <phoneticPr fontId="20"/>
  </si>
  <si>
    <t>9行目：「マークアップ率」を行削除</t>
    <phoneticPr fontId="20"/>
  </si>
  <si>
    <t>-</t>
    <phoneticPr fontId="20"/>
  </si>
  <si>
    <t>レスポンシブ検索広告</t>
    <rPh sb="6" eb="8">
      <t>ケンサク</t>
    </rPh>
    <rPh sb="8" eb="10">
      <t>コウコク</t>
    </rPh>
    <phoneticPr fontId="20"/>
  </si>
  <si>
    <t>※アセット単位で出力</t>
    <phoneticPr fontId="20"/>
  </si>
  <si>
    <t>拡張テキスト</t>
    <phoneticPr fontId="20"/>
  </si>
  <si>
    <t>TD</t>
    <phoneticPr fontId="20"/>
  </si>
  <si>
    <t>フロント必須</t>
    <rPh sb="4" eb="6">
      <t>ヒッス</t>
    </rPh>
    <phoneticPr fontId="20"/>
  </si>
  <si>
    <t>コンサル必須</t>
    <rPh sb="4" eb="6">
      <t>ヒッス</t>
    </rPh>
    <phoneticPr fontId="20"/>
  </si>
  <si>
    <t>アカウント設定情報/キャンペーン/広告グループ/拡張テキスト/レスポンシブ検索(β)</t>
    <rPh sb="5" eb="7">
      <t>セッテイ</t>
    </rPh>
    <rPh sb="7" eb="9">
      <t>ジョウホウ</t>
    </rPh>
    <rPh sb="17" eb="19">
      <t>コウコク</t>
    </rPh>
    <rPh sb="24" eb="26">
      <t>カクチョウ</t>
    </rPh>
    <phoneticPr fontId="20"/>
  </si>
  <si>
    <t>フロント必須/コンサル必須をセル内へ記載し、ラベルを削除※ロボ用</t>
    <rPh sb="31" eb="32">
      <t>ヨウ</t>
    </rPh>
    <phoneticPr fontId="20"/>
  </si>
  <si>
    <t>レスポンシブ検索(β)</t>
    <phoneticPr fontId="20"/>
  </si>
  <si>
    <t>セル結合を解除</t>
    <rPh sb="2" eb="4">
      <t>ケツゴウ</t>
    </rPh>
    <rPh sb="5" eb="7">
      <t>カイジョ</t>
    </rPh>
    <phoneticPr fontId="20"/>
  </si>
  <si>
    <t>K列「Y_入札戦略」を修正（「検索結果ページの目標掲載位置」＆「コンバージョン数の最大化」を削除）</t>
    <rPh sb="1" eb="2">
      <t>レツ</t>
    </rPh>
    <rPh sb="11" eb="13">
      <t>シュウセイ</t>
    </rPh>
    <rPh sb="46" eb="48">
      <t>サクジョ</t>
    </rPh>
    <phoneticPr fontId="20"/>
  </si>
  <si>
    <t>下限</t>
    <rPh sb="0" eb="2">
      <t>カゲン</t>
    </rPh>
    <phoneticPr fontId="14"/>
  </si>
  <si>
    <t>上限</t>
    <rPh sb="0" eb="2">
      <t>ジョウゲン</t>
    </rPh>
    <phoneticPr fontId="14"/>
  </si>
  <si>
    <t>不明有無</t>
    <rPh sb="0" eb="2">
      <t>フメイ</t>
    </rPh>
    <rPh sb="2" eb="4">
      <t>ウム</t>
    </rPh>
    <phoneticPr fontId="14"/>
  </si>
  <si>
    <t>※[｜]で区切ったものはOR条件</t>
    <rPh sb="5" eb="7">
      <t>クギ</t>
    </rPh>
    <rPh sb="14" eb="16">
      <t>ジョウケン</t>
    </rPh>
    <phoneticPr fontId="14"/>
  </si>
  <si>
    <t>Google：世帯収入</t>
    <rPh sb="7" eb="9">
      <t>セタイ</t>
    </rPh>
    <rPh sb="9" eb="11">
      <t>シュウニュウ</t>
    </rPh>
    <phoneticPr fontId="14"/>
  </si>
  <si>
    <t>Google：性別
※[｜]区切りで記載</t>
    <rPh sb="7" eb="9">
      <t>セイベツ</t>
    </rPh>
    <phoneticPr fontId="14"/>
  </si>
  <si>
    <t>Google：年齢</t>
    <rPh sb="7" eb="9">
      <t>ネンレイ</t>
    </rPh>
    <phoneticPr fontId="14"/>
  </si>
  <si>
    <t>Google：購買意向の強いユーザー
※[｜]区切りで記載</t>
    <rPh sb="7" eb="9">
      <t>コウバイ</t>
    </rPh>
    <rPh sb="9" eb="11">
      <t>イコウ</t>
    </rPh>
    <rPh sb="12" eb="13">
      <t>ツヨ</t>
    </rPh>
    <phoneticPr fontId="14"/>
  </si>
  <si>
    <t>Google：リマーケティングリスト名
Yahoo：サイトリターゲティングリスト名
※ターゲティング（リスト）※AP記載用を記入</t>
    <phoneticPr fontId="14"/>
  </si>
  <si>
    <t>※列の異なるターゲティングはAND条件（購買意向の強いユーザー・リマーケティングのみOR条件）</t>
    <rPh sb="1" eb="2">
      <t>レツ</t>
    </rPh>
    <rPh sb="3" eb="4">
      <t>コト</t>
    </rPh>
    <rPh sb="17" eb="19">
      <t>ジョウケン</t>
    </rPh>
    <rPh sb="20" eb="22">
      <t>コウバイ</t>
    </rPh>
    <rPh sb="22" eb="24">
      <t>イコウ</t>
    </rPh>
    <rPh sb="25" eb="26">
      <t>ツヨ</t>
    </rPh>
    <rPh sb="44" eb="46">
      <t>ジョウケン</t>
    </rPh>
    <phoneticPr fontId="14"/>
  </si>
  <si>
    <t>G_年齢下限</t>
    <rPh sb="2" eb="4">
      <t>ネンレイ</t>
    </rPh>
    <rPh sb="4" eb="6">
      <t>カゲン</t>
    </rPh>
    <phoneticPr fontId="1"/>
  </si>
  <si>
    <t>G_年齢上限</t>
    <rPh sb="2" eb="4">
      <t>ネンレイ</t>
    </rPh>
    <rPh sb="4" eb="6">
      <t>ジョウゲン</t>
    </rPh>
    <phoneticPr fontId="1"/>
  </si>
  <si>
    <t>65以上</t>
    <rPh sb="2" eb="4">
      <t>イジョウ</t>
    </rPh>
    <phoneticPr fontId="1"/>
  </si>
  <si>
    <t>世帯収入上限</t>
    <rPh sb="0" eb="2">
      <t>セタイ</t>
    </rPh>
    <rPh sb="2" eb="4">
      <t>シュウニュウ</t>
    </rPh>
    <rPh sb="4" eb="6">
      <t>ジョウゲン</t>
    </rPh>
    <phoneticPr fontId="1"/>
  </si>
  <si>
    <t>世帯収入下限</t>
    <rPh sb="0" eb="2">
      <t>セタイ</t>
    </rPh>
    <rPh sb="2" eb="4">
      <t>シュウニュウ</t>
    </rPh>
    <rPh sb="4" eb="6">
      <t>カゲン</t>
    </rPh>
    <phoneticPr fontId="1"/>
  </si>
  <si>
    <t>不明有無</t>
    <rPh sb="0" eb="2">
      <t>フメイ</t>
    </rPh>
    <rPh sb="2" eb="4">
      <t>ウム</t>
    </rPh>
    <phoneticPr fontId="16"/>
  </si>
  <si>
    <t>含む</t>
    <rPh sb="0" eb="1">
      <t>フク</t>
    </rPh>
    <phoneticPr fontId="16"/>
  </si>
  <si>
    <t>含まない</t>
    <rPh sb="0" eb="1">
      <t>フク</t>
    </rPh>
    <phoneticPr fontId="16"/>
  </si>
  <si>
    <t>ターゲティング（関連付け）※AP記載用</t>
    <phoneticPr fontId="20"/>
  </si>
  <si>
    <t>シート追加</t>
    <rPh sb="3" eb="5">
      <t>ツイカ</t>
    </rPh>
    <phoneticPr fontId="20"/>
  </si>
  <si>
    <t>女性</t>
    <phoneticPr fontId="16"/>
  </si>
  <si>
    <t>不明</t>
  </si>
  <si>
    <t>男性｜不明</t>
  </si>
  <si>
    <t>女性｜不明</t>
    <phoneticPr fontId="16"/>
  </si>
  <si>
    <t>男性｜女性</t>
  </si>
  <si>
    <t>男性｜女性｜不明</t>
    <rPh sb="0" eb="2">
      <t>ダンセイ</t>
    </rPh>
    <rPh sb="3" eb="5">
      <t>ジョセイ</t>
    </rPh>
    <rPh sb="6" eb="8">
      <t>フメイ</t>
    </rPh>
    <phoneticPr fontId="16"/>
  </si>
  <si>
    <t>レスポンシブ検索(β) ※入稿用</t>
    <phoneticPr fontId="20"/>
  </si>
  <si>
    <t>■レスポンシブ検索広告(β) ※入稿用</t>
    <rPh sb="7" eb="9">
      <t>ケンサク</t>
    </rPh>
    <rPh sb="9" eb="11">
      <t>コウコク</t>
    </rPh>
    <rPh sb="16" eb="18">
      <t>ニュウコウ</t>
    </rPh>
    <rPh sb="18" eb="19">
      <t>ヨウ</t>
    </rPh>
    <phoneticPr fontId="14"/>
  </si>
  <si>
    <t>広告の見出し1
※最低5以上・最大15</t>
    <rPh sb="0" eb="2">
      <t>コウコク</t>
    </rPh>
    <rPh sb="3" eb="5">
      <t>ミダ</t>
    </rPh>
    <rPh sb="9" eb="11">
      <t>サイテイ</t>
    </rPh>
    <rPh sb="12" eb="14">
      <t>イジョウ</t>
    </rPh>
    <rPh sb="15" eb="17">
      <t>サイダイ</t>
    </rPh>
    <phoneticPr fontId="14"/>
  </si>
  <si>
    <t>見出し_位置1</t>
    <phoneticPr fontId="20"/>
  </si>
  <si>
    <t>広告の見出し2</t>
    <rPh sb="0" eb="2">
      <t>コウコク</t>
    </rPh>
    <rPh sb="3" eb="5">
      <t>ミダ</t>
    </rPh>
    <phoneticPr fontId="14"/>
  </si>
  <si>
    <t>見出し_位置2</t>
    <phoneticPr fontId="20"/>
  </si>
  <si>
    <t>広告の見出し3</t>
    <rPh sb="0" eb="2">
      <t>コウコク</t>
    </rPh>
    <rPh sb="3" eb="5">
      <t>ミダ</t>
    </rPh>
    <phoneticPr fontId="14"/>
  </si>
  <si>
    <t>見出し_位置3</t>
    <phoneticPr fontId="20"/>
  </si>
  <si>
    <t>広告の見出し4</t>
    <rPh sb="0" eb="2">
      <t>コウコク</t>
    </rPh>
    <rPh sb="3" eb="5">
      <t>ミダ</t>
    </rPh>
    <phoneticPr fontId="14"/>
  </si>
  <si>
    <t>見出し_位置4</t>
    <phoneticPr fontId="20"/>
  </si>
  <si>
    <t>広告の見出し5</t>
    <rPh sb="0" eb="2">
      <t>コウコク</t>
    </rPh>
    <rPh sb="3" eb="5">
      <t>ミダ</t>
    </rPh>
    <phoneticPr fontId="14"/>
  </si>
  <si>
    <t>見出し_位置5</t>
    <phoneticPr fontId="20"/>
  </si>
  <si>
    <t>広告の見出し6</t>
    <rPh sb="0" eb="2">
      <t>コウコク</t>
    </rPh>
    <rPh sb="3" eb="5">
      <t>ミダ</t>
    </rPh>
    <phoneticPr fontId="14"/>
  </si>
  <si>
    <t>見出し_位置6</t>
    <phoneticPr fontId="20"/>
  </si>
  <si>
    <t>見出し_位置7</t>
    <phoneticPr fontId="20"/>
  </si>
  <si>
    <t>広告の見出し7</t>
    <rPh sb="0" eb="2">
      <t>コウコク</t>
    </rPh>
    <rPh sb="3" eb="5">
      <t>ミダ</t>
    </rPh>
    <phoneticPr fontId="14"/>
  </si>
  <si>
    <t>広告見出し8</t>
  </si>
  <si>
    <t>広告見出し9</t>
  </si>
  <si>
    <t>広告見出し10</t>
  </si>
  <si>
    <t>広告見出し11</t>
  </si>
  <si>
    <t>広告見出し12</t>
  </si>
  <si>
    <t>広告見出し13</t>
  </si>
  <si>
    <t>広告見出し14</t>
  </si>
  <si>
    <t>広告見出し15</t>
  </si>
  <si>
    <t>見出し_位置8</t>
  </si>
  <si>
    <t>見出し_位置9</t>
  </si>
  <si>
    <t>見出し_位置10</t>
  </si>
  <si>
    <t>見出し_位置11</t>
  </si>
  <si>
    <t>見出し_位置12</t>
  </si>
  <si>
    <t>見出し_位置13</t>
  </si>
  <si>
    <t>見出し_位置14</t>
  </si>
  <si>
    <t>見出し_位置15</t>
  </si>
  <si>
    <t>説明文1
※最低2・最大4</t>
    <phoneticPr fontId="20"/>
  </si>
  <si>
    <t>説明文2</t>
    <phoneticPr fontId="20"/>
  </si>
  <si>
    <t>説明文3</t>
  </si>
  <si>
    <t>説明文4</t>
  </si>
  <si>
    <t>説明文_位置1</t>
    <phoneticPr fontId="20"/>
  </si>
  <si>
    <t>説明文_位置2</t>
    <phoneticPr fontId="20"/>
  </si>
  <si>
    <t>説明文_位置3</t>
    <phoneticPr fontId="20"/>
  </si>
  <si>
    <t>説明文_位置4</t>
    <phoneticPr fontId="20"/>
  </si>
  <si>
    <t>パス1</t>
    <phoneticPr fontId="20"/>
  </si>
  <si>
    <t>パス2</t>
    <phoneticPr fontId="20"/>
  </si>
  <si>
    <t>Ver.8.1.0</t>
  </si>
  <si>
    <t>Ver.8.1.0</t>
    <phoneticPr fontId="20"/>
  </si>
  <si>
    <t>必須チェック
判定カラム</t>
    <rPh sb="0" eb="2">
      <t>ヒッス</t>
    </rPh>
    <rPh sb="7" eb="9">
      <t>ハンテイ</t>
    </rPh>
    <phoneticPr fontId="16"/>
  </si>
  <si>
    <t>最新Ver：</t>
    <rPh sb="0" eb="2">
      <t>サイシン</t>
    </rPh>
    <phoneticPr fontId="14"/>
  </si>
  <si>
    <t>9.0.0</t>
  </si>
  <si>
    <t>9.0.0</t>
    <phoneticPr fontId="20"/>
  </si>
  <si>
    <t>平出貴昭</t>
    <rPh sb="0" eb="2">
      <t>ヒライデ</t>
    </rPh>
    <rPh sb="2" eb="4">
      <t>タカアキ</t>
    </rPh>
    <phoneticPr fontId="19"/>
  </si>
  <si>
    <t>ターゲティング（関連付け）※AP記載用</t>
    <phoneticPr fontId="20"/>
  </si>
  <si>
    <t>「ターゲティング（関連付け）※AP記載用」→「ターゲティング（関連付け）」への転記機能を追加。</t>
    <rPh sb="39" eb="41">
      <t>テンキ</t>
    </rPh>
    <rPh sb="41" eb="43">
      <t>キノウ</t>
    </rPh>
    <rPh sb="44" eb="46">
      <t>ツイカ</t>
    </rPh>
    <phoneticPr fontId="20"/>
  </si>
  <si>
    <t>平出貴昭</t>
    <rPh sb="0" eb="2">
      <t>ヒライデ</t>
    </rPh>
    <rPh sb="2" eb="4">
      <t>タカアキ</t>
    </rPh>
    <phoneticPr fontId="20"/>
  </si>
  <si>
    <t xml:space="preserve">レスポンシブ検索(β) </t>
    <phoneticPr fontId="20"/>
  </si>
  <si>
    <t>「レスポンシブ検索(β) 」→「レスポンシブ検索(β) ※入稿用」への転記機能を追加。</t>
    <rPh sb="35" eb="37">
      <t>テンキ</t>
    </rPh>
    <rPh sb="37" eb="39">
      <t>キノウ</t>
    </rPh>
    <rPh sb="40" eb="42">
      <t>ツイカ</t>
    </rPh>
    <phoneticPr fontId="20"/>
  </si>
  <si>
    <t>Google</t>
    <phoneticPr fontId="20"/>
  </si>
  <si>
    <t>入札戦略の単価入力部分のグレーアウトを白抜きへ変更</t>
    <rPh sb="2" eb="4">
      <t>センリャク</t>
    </rPh>
    <rPh sb="5" eb="7">
      <t>タンカ</t>
    </rPh>
    <rPh sb="7" eb="9">
      <t>ニュウリョク</t>
    </rPh>
    <rPh sb="9" eb="11">
      <t>ブブン</t>
    </rPh>
    <rPh sb="19" eb="21">
      <t>シロヌ</t>
    </rPh>
    <rPh sb="23" eb="25">
      <t>ヘンコウ</t>
    </rPh>
    <phoneticPr fontId="20"/>
  </si>
  <si>
    <t>9.1.0</t>
    <phoneticPr fontId="20"/>
  </si>
  <si>
    <t>J列（【G_入札戦略】）より「検索ページの目標掲載位置」削除</t>
    <rPh sb="1" eb="2">
      <t>レツ</t>
    </rPh>
    <rPh sb="28" eb="30">
      <t>サクジョ</t>
    </rPh>
    <phoneticPr fontId="20"/>
  </si>
  <si>
    <t>鳥羽由里子</t>
    <rPh sb="0" eb="2">
      <t>トバ</t>
    </rPh>
    <rPh sb="2" eb="5">
      <t>ユリコ</t>
    </rPh>
    <phoneticPr fontId="20"/>
  </si>
  <si>
    <t>◆WM読み込み用入稿 申請Excel_ver.05</t>
    <rPh sb="3" eb="4">
      <t>ヨ</t>
    </rPh>
    <rPh sb="5" eb="6">
      <t>コ</t>
    </rPh>
    <rPh sb="7" eb="8">
      <t>ヨウ</t>
    </rPh>
    <rPh sb="8" eb="10">
      <t>ニュウコウ</t>
    </rPh>
    <phoneticPr fontId="14"/>
  </si>
  <si>
    <t>　ルーチン:週次曜日指定</t>
    <rPh sb="6" eb="8">
      <t>シュウジ</t>
    </rPh>
    <rPh sb="8" eb="10">
      <t>ヨウビ</t>
    </rPh>
    <rPh sb="10" eb="12">
      <t>シテイ</t>
    </rPh>
    <phoneticPr fontId="14"/>
  </si>
  <si>
    <t>数値  デフォルト：該当週の最終営業日  ルーチン頻度 = 週次のオプション （1：月、2：火、3：水、4：木、5：金）</t>
    <rPh sb="0" eb="2">
      <t>スウチ</t>
    </rPh>
    <rPh sb="10" eb="12">
      <t>ガイトウ</t>
    </rPh>
    <rPh sb="12" eb="13">
      <t>シュウ</t>
    </rPh>
    <rPh sb="14" eb="16">
      <t>サイシュウ</t>
    </rPh>
    <rPh sb="16" eb="18">
      <t>エイギョウ</t>
    </rPh>
    <rPh sb="18" eb="19">
      <t>ヒ</t>
    </rPh>
    <rPh sb="25" eb="27">
      <t>ヒンド</t>
    </rPh>
    <rPh sb="30" eb="32">
      <t>シュウジ</t>
    </rPh>
    <rPh sb="42" eb="43">
      <t>ツキ</t>
    </rPh>
    <rPh sb="46" eb="47">
      <t>カ</t>
    </rPh>
    <rPh sb="50" eb="51">
      <t>ミズ</t>
    </rPh>
    <rPh sb="54" eb="55">
      <t>キ</t>
    </rPh>
    <rPh sb="58" eb="59">
      <t>キン</t>
    </rPh>
    <phoneticPr fontId="14"/>
  </si>
  <si>
    <t>※ルーチンの場合オプション</t>
    <phoneticPr fontId="14"/>
  </si>
  <si>
    <t>　ルーチン:月次営業日指定</t>
    <rPh sb="6" eb="8">
      <t>ゲツジ</t>
    </rPh>
    <rPh sb="8" eb="11">
      <t>エイギョウビ</t>
    </rPh>
    <rPh sb="11" eb="13">
      <t>シテイ</t>
    </rPh>
    <phoneticPr fontId="14"/>
  </si>
  <si>
    <t>数値  デフォルト：月末から3営業日前 ルーチン：頻度 = 月次の場合のオプション</t>
    <rPh sb="0" eb="2">
      <t>スウチ</t>
    </rPh>
    <rPh sb="10" eb="11">
      <t>ゲツ</t>
    </rPh>
    <rPh sb="11" eb="12">
      <t>マツ</t>
    </rPh>
    <rPh sb="15" eb="17">
      <t>エイギョウ</t>
    </rPh>
    <rPh sb="17" eb="18">
      <t>ヒ</t>
    </rPh>
    <rPh sb="18" eb="19">
      <t>マエ</t>
    </rPh>
    <rPh sb="25" eb="27">
      <t>ヒンド</t>
    </rPh>
    <rPh sb="30" eb="32">
      <t>ゲツジ</t>
    </rPh>
    <rPh sb="33" eb="35">
      <t>バアイ</t>
    </rPh>
    <phoneticPr fontId="14"/>
  </si>
  <si>
    <t>2.0.0</t>
    <phoneticPr fontId="14"/>
  </si>
  <si>
    <t>数値  ルーチン頻度 = 週次(200)のオプション （1：月、2：火、3：水、4：木、5：金）</t>
    <rPh sb="0" eb="2">
      <t>スウチ</t>
    </rPh>
    <rPh sb="8" eb="10">
      <t>ヒンド</t>
    </rPh>
    <rPh sb="13" eb="15">
      <t>シュウジ</t>
    </rPh>
    <rPh sb="30" eb="31">
      <t>ツキ</t>
    </rPh>
    <rPh sb="34" eb="35">
      <t>カ</t>
    </rPh>
    <rPh sb="38" eb="39">
      <t>ミズ</t>
    </rPh>
    <rPh sb="42" eb="43">
      <t>キ</t>
    </rPh>
    <rPh sb="46" eb="47">
      <t>キン</t>
    </rPh>
    <phoneticPr fontId="14"/>
  </si>
  <si>
    <t>数値  ルーチン：頻度 = 月次(300)の場合のオプション</t>
    <rPh sb="0" eb="2">
      <t>スウチ</t>
    </rPh>
    <rPh sb="9" eb="11">
      <t>ヒンド</t>
    </rPh>
    <rPh sb="14" eb="16">
      <t>ゲツジ</t>
    </rPh>
    <rPh sb="22" eb="24">
      <t>バアイ</t>
    </rPh>
    <phoneticPr fontId="14"/>
  </si>
  <si>
    <t>次より前</t>
    <rPh sb="0" eb="1">
      <t>ツギ</t>
    </rPh>
    <rPh sb="3" eb="4">
      <t>マエ</t>
    </rPh>
    <phoneticPr fontId="20"/>
  </si>
  <si>
    <t>次より後</t>
    <rPh sb="0" eb="1">
      <t>ツギ</t>
    </rPh>
    <rPh sb="3" eb="4">
      <t>アト</t>
    </rPh>
    <phoneticPr fontId="20"/>
  </si>
  <si>
    <t>次の間</t>
    <rPh sb="0" eb="1">
      <t>ツギ</t>
    </rPh>
    <rPh sb="2" eb="3">
      <t>アイダ</t>
    </rPh>
    <phoneticPr fontId="20"/>
  </si>
  <si>
    <t>特定の期間内にページを訪問したユーザー</t>
  </si>
  <si>
    <t>ページを訪問したユーザー（別のページは訪問していないユーザー）</t>
  </si>
  <si>
    <t>ユーザーリスト（単体）</t>
    <phoneticPr fontId="20"/>
  </si>
  <si>
    <t>ルールグループ</t>
  </si>
  <si>
    <t>ルールグループ</t>
    <phoneticPr fontId="14"/>
  </si>
  <si>
    <t>ルールグループ</t>
    <phoneticPr fontId="20"/>
  </si>
  <si>
    <t>いずれかのルールグループに一致する</t>
    <rPh sb="13" eb="15">
      <t>イッチ</t>
    </rPh>
    <phoneticPr fontId="20"/>
  </si>
  <si>
    <t>すべてのルールグループに一致する</t>
    <rPh sb="12" eb="14">
      <t>イッチ</t>
    </rPh>
    <phoneticPr fontId="20"/>
  </si>
  <si>
    <t>訪問_日付</t>
    <rPh sb="0" eb="2">
      <t>ホウモン</t>
    </rPh>
    <rPh sb="3" eb="5">
      <t>ヒヅケ</t>
    </rPh>
    <phoneticPr fontId="20"/>
  </si>
  <si>
    <t>訪問日条件</t>
    <rPh sb="0" eb="3">
      <t>ホウモンビ</t>
    </rPh>
    <rPh sb="3" eb="5">
      <t>ジョウケン</t>
    </rPh>
    <phoneticPr fontId="20"/>
  </si>
  <si>
    <t>「訪問日条件」「ルールグループ」追加</t>
    <rPh sb="1" eb="4">
      <t>ホウモンビ</t>
    </rPh>
    <rPh sb="4" eb="6">
      <t>ジョウケン</t>
    </rPh>
    <rPh sb="16" eb="18">
      <t>ツイカ</t>
    </rPh>
    <phoneticPr fontId="20"/>
  </si>
  <si>
    <t>AND</t>
    <phoneticPr fontId="20"/>
  </si>
  <si>
    <t>ORかAND
（およびorまたは）1</t>
    <phoneticPr fontId="20"/>
  </si>
  <si>
    <t>ORかAND
およびorまたは2</t>
  </si>
  <si>
    <t>ORかAND
およびorまたは3</t>
  </si>
  <si>
    <t>※URL(1)</t>
    <phoneticPr fontId="14"/>
  </si>
  <si>
    <t>※条件(1)</t>
    <rPh sb="1" eb="3">
      <t>ジョウケン</t>
    </rPh>
    <phoneticPr fontId="16"/>
  </si>
  <si>
    <t>訪問した他のページ：URLの一部 or 全体
訪問しなかったページ：URLの一部 or 全体
(1)</t>
    <rPh sb="0" eb="2">
      <t>ホウモン</t>
    </rPh>
    <rPh sb="4" eb="5">
      <t>ホカ</t>
    </rPh>
    <rPh sb="14" eb="16">
      <t>イチブ</t>
    </rPh>
    <rPh sb="20" eb="22">
      <t>ゼンタイ</t>
    </rPh>
    <phoneticPr fontId="14"/>
  </si>
  <si>
    <t>※URL(2)</t>
  </si>
  <si>
    <t>※条件(2)</t>
    <rPh sb="1" eb="3">
      <t>ジョウケン</t>
    </rPh>
    <phoneticPr fontId="16"/>
  </si>
  <si>
    <t>訪問した他のページ：URLの一部 or 全体
訪問しなかったページ：URLの一部 or 全体
(2)</t>
    <rPh sb="0" eb="2">
      <t>ホウモン</t>
    </rPh>
    <rPh sb="4" eb="5">
      <t>ホカ</t>
    </rPh>
    <rPh sb="14" eb="16">
      <t>イチブ</t>
    </rPh>
    <rPh sb="20" eb="22">
      <t>ゼンタイ</t>
    </rPh>
    <phoneticPr fontId="14"/>
  </si>
  <si>
    <t>※URL(3)</t>
  </si>
  <si>
    <t>※条件(3)</t>
    <rPh sb="1" eb="3">
      <t>ジョウケン</t>
    </rPh>
    <phoneticPr fontId="16"/>
  </si>
  <si>
    <t>訪問した他のページ：URLの一部 or 全体
訪問しなかったページ：URLの一部 or 全体
(3)</t>
    <rPh sb="0" eb="2">
      <t>ホウモン</t>
    </rPh>
    <rPh sb="4" eb="5">
      <t>ホカ</t>
    </rPh>
    <rPh sb="14" eb="16">
      <t>イチブ</t>
    </rPh>
    <rPh sb="20" eb="22">
      <t>ゼンタイ</t>
    </rPh>
    <phoneticPr fontId="14"/>
  </si>
  <si>
    <t>※URL(1)</t>
    <phoneticPr fontId="20"/>
  </si>
  <si>
    <t>※add(1-1)</t>
    <phoneticPr fontId="20"/>
  </si>
  <si>
    <t>※URL(1-1)</t>
    <phoneticPr fontId="20"/>
  </si>
  <si>
    <t>※条件(1-1)</t>
    <phoneticPr fontId="16"/>
  </si>
  <si>
    <t>訪問した他のページ：URLの一部 or 全体
訪問しなかったページ：URLの一部 or 全体(1-1)</t>
    <rPh sb="0" eb="2">
      <t>ホウモン</t>
    </rPh>
    <rPh sb="4" eb="5">
      <t>ホカ</t>
    </rPh>
    <rPh sb="14" eb="16">
      <t>イチブ</t>
    </rPh>
    <rPh sb="20" eb="22">
      <t>ゼンタイ</t>
    </rPh>
    <rPh sb="23" eb="25">
      <t>ホウモン</t>
    </rPh>
    <rPh sb="38" eb="40">
      <t>イチブ</t>
    </rPh>
    <rPh sb="44" eb="46">
      <t>ゼンタイ</t>
    </rPh>
    <phoneticPr fontId="14"/>
  </si>
  <si>
    <t>※add(1-2)</t>
    <phoneticPr fontId="20"/>
  </si>
  <si>
    <t>※URL(1-2)</t>
    <phoneticPr fontId="20"/>
  </si>
  <si>
    <t>※条件(1-2)</t>
    <phoneticPr fontId="16"/>
  </si>
  <si>
    <t>訪問した他のページ：URLの一部 or 全体
訪問しなかったページ：URLの一部 or 全体(1-2)</t>
    <rPh sb="0" eb="2">
      <t>ホウモン</t>
    </rPh>
    <rPh sb="4" eb="5">
      <t>ホカ</t>
    </rPh>
    <rPh sb="14" eb="16">
      <t>イチブ</t>
    </rPh>
    <rPh sb="20" eb="22">
      <t>ゼンタイ</t>
    </rPh>
    <rPh sb="23" eb="25">
      <t>ホウモン</t>
    </rPh>
    <rPh sb="38" eb="40">
      <t>イチブ</t>
    </rPh>
    <rPh sb="44" eb="46">
      <t>ゼンタイ</t>
    </rPh>
    <phoneticPr fontId="14"/>
  </si>
  <si>
    <t>※add(1-3)</t>
    <phoneticPr fontId="20"/>
  </si>
  <si>
    <t>※URL(1-3)</t>
    <phoneticPr fontId="20"/>
  </si>
  <si>
    <t>※条件(1-3)</t>
    <phoneticPr fontId="16"/>
  </si>
  <si>
    <t>訪問した他のページ：URLの一部 or 全体
訪問しなかったページ：URLの一部 or 全体(1-3)</t>
    <rPh sb="0" eb="2">
      <t>ホウモン</t>
    </rPh>
    <rPh sb="4" eb="5">
      <t>ホカ</t>
    </rPh>
    <rPh sb="14" eb="16">
      <t>イチブ</t>
    </rPh>
    <rPh sb="20" eb="22">
      <t>ゼンタイ</t>
    </rPh>
    <rPh sb="23" eb="25">
      <t>ホウモン</t>
    </rPh>
    <rPh sb="38" eb="40">
      <t>イチブ</t>
    </rPh>
    <rPh sb="44" eb="46">
      <t>ゼンタイ</t>
    </rPh>
    <phoneticPr fontId="14"/>
  </si>
  <si>
    <t>※add(1-4)</t>
    <phoneticPr fontId="20"/>
  </si>
  <si>
    <t>※URL(1-4)</t>
    <phoneticPr fontId="20"/>
  </si>
  <si>
    <t>※条件(1-4)</t>
    <phoneticPr fontId="16"/>
  </si>
  <si>
    <t>訪問した他のページ：URLの一部 or 全体
訪問しなかったページ：URLの一部 or 全体(1-4)</t>
    <rPh sb="0" eb="2">
      <t>ホウモン</t>
    </rPh>
    <rPh sb="4" eb="5">
      <t>ホカ</t>
    </rPh>
    <rPh sb="14" eb="16">
      <t>イチブ</t>
    </rPh>
    <rPh sb="20" eb="22">
      <t>ゼンタイ</t>
    </rPh>
    <rPh sb="23" eb="25">
      <t>ホウモン</t>
    </rPh>
    <rPh sb="38" eb="40">
      <t>イチブ</t>
    </rPh>
    <rPh sb="44" eb="46">
      <t>ゼンタイ</t>
    </rPh>
    <phoneticPr fontId="14"/>
  </si>
  <si>
    <t>※add(2-1)</t>
    <phoneticPr fontId="20"/>
  </si>
  <si>
    <t>※URL(2-1)</t>
    <phoneticPr fontId="20"/>
  </si>
  <si>
    <t>※条件(2-1)</t>
    <phoneticPr fontId="16"/>
  </si>
  <si>
    <t>訪問した他のページ：URLの一部 or 全体
訪問しなかったページ：URLの一部 or 全体
(2-1)</t>
    <rPh sb="0" eb="2">
      <t>ホウモン</t>
    </rPh>
    <rPh sb="4" eb="5">
      <t>ホカ</t>
    </rPh>
    <rPh sb="14" eb="16">
      <t>イチブ</t>
    </rPh>
    <rPh sb="20" eb="22">
      <t>ゼンタイ</t>
    </rPh>
    <phoneticPr fontId="14"/>
  </si>
  <si>
    <t>※add(2-2)</t>
    <phoneticPr fontId="20"/>
  </si>
  <si>
    <t>※URL(2-2)</t>
    <phoneticPr fontId="20"/>
  </si>
  <si>
    <t>※条件(2-2)</t>
    <phoneticPr fontId="16"/>
  </si>
  <si>
    <t>訪問した他のページ：URLの一部 or 全体
訪問しなかったページ：URLの一部 or 全体
(2-2)</t>
    <rPh sb="0" eb="2">
      <t>ホウモン</t>
    </rPh>
    <rPh sb="4" eb="5">
      <t>ホカ</t>
    </rPh>
    <rPh sb="14" eb="16">
      <t>イチブ</t>
    </rPh>
    <rPh sb="20" eb="22">
      <t>ゼンタイ</t>
    </rPh>
    <phoneticPr fontId="14"/>
  </si>
  <si>
    <t>※add(2-3)</t>
    <phoneticPr fontId="20"/>
  </si>
  <si>
    <t>※URL(2-3)</t>
    <phoneticPr fontId="20"/>
  </si>
  <si>
    <t>※条件(2-3)</t>
    <phoneticPr fontId="16"/>
  </si>
  <si>
    <t>訪問した他のページ：URLの一部 or 全体
訪問しなかったページ：URLの一部 or 全体
(2-3)</t>
    <rPh sb="0" eb="2">
      <t>ホウモン</t>
    </rPh>
    <rPh sb="4" eb="5">
      <t>ホカ</t>
    </rPh>
    <rPh sb="14" eb="16">
      <t>イチブ</t>
    </rPh>
    <rPh sb="20" eb="22">
      <t>ゼンタイ</t>
    </rPh>
    <phoneticPr fontId="14"/>
  </si>
  <si>
    <t>※add(2-4)</t>
    <phoneticPr fontId="20"/>
  </si>
  <si>
    <t>※URL(2-4)</t>
    <phoneticPr fontId="20"/>
  </si>
  <si>
    <t>※条件(2-4)</t>
    <phoneticPr fontId="16"/>
  </si>
  <si>
    <t>訪問した他のページ：URLの一部 or 全体
訪問しなかったページ：URLの一部 or 全体
(2-4)</t>
    <rPh sb="0" eb="2">
      <t>ホウモン</t>
    </rPh>
    <rPh sb="4" eb="5">
      <t>ホカ</t>
    </rPh>
    <rPh sb="14" eb="16">
      <t>イチブ</t>
    </rPh>
    <rPh sb="20" eb="22">
      <t>ゼンタイ</t>
    </rPh>
    <phoneticPr fontId="14"/>
  </si>
  <si>
    <t>※ORかAND
（およびorまたは）1</t>
    <phoneticPr fontId="20"/>
  </si>
  <si>
    <t>※ORかAND
およびorまたは2</t>
    <phoneticPr fontId="20"/>
  </si>
  <si>
    <t>※URL(3)</t>
    <phoneticPr fontId="20"/>
  </si>
  <si>
    <t>※条件(3)</t>
    <phoneticPr fontId="16"/>
  </si>
  <si>
    <t>※add(3-1)</t>
    <phoneticPr fontId="20"/>
  </si>
  <si>
    <t>※URL(3-1)</t>
    <phoneticPr fontId="20"/>
  </si>
  <si>
    <t>※条件(3-1)</t>
    <phoneticPr fontId="16"/>
  </si>
  <si>
    <t>訪問した他のページ：URLの一部 or 全体
訪問しなかったページ：URLの一部 or 全体
(3-1)</t>
    <rPh sb="0" eb="2">
      <t>ホウモン</t>
    </rPh>
    <rPh sb="4" eb="5">
      <t>ホカ</t>
    </rPh>
    <rPh sb="14" eb="16">
      <t>イチブ</t>
    </rPh>
    <rPh sb="20" eb="22">
      <t>ゼンタイ</t>
    </rPh>
    <phoneticPr fontId="14"/>
  </si>
  <si>
    <t>※add(3-2)</t>
    <phoneticPr fontId="20"/>
  </si>
  <si>
    <t>※URL(3-2)</t>
    <phoneticPr fontId="20"/>
  </si>
  <si>
    <t>※条件(3-2)</t>
    <phoneticPr fontId="16"/>
  </si>
  <si>
    <t>訪問した他のページ：URLの一部 or 全体
訪問しなかったページ：URLの一部 or 全体
(3-2)</t>
    <rPh sb="0" eb="2">
      <t>ホウモン</t>
    </rPh>
    <rPh sb="4" eb="5">
      <t>ホカ</t>
    </rPh>
    <rPh sb="14" eb="16">
      <t>イチブ</t>
    </rPh>
    <rPh sb="20" eb="22">
      <t>ゼンタイ</t>
    </rPh>
    <phoneticPr fontId="14"/>
  </si>
  <si>
    <t>※add(3-3)</t>
    <phoneticPr fontId="20"/>
  </si>
  <si>
    <t>※URL(3-3)</t>
    <phoneticPr fontId="20"/>
  </si>
  <si>
    <t>※条件(3-3)</t>
    <phoneticPr fontId="16"/>
  </si>
  <si>
    <t>訪問した他のページ：URLの一部 or 全体
訪問しなかったページ：URLの一部 or 全体
(3-3)</t>
    <rPh sb="0" eb="2">
      <t>ホウモン</t>
    </rPh>
    <rPh sb="4" eb="5">
      <t>ホカ</t>
    </rPh>
    <rPh sb="14" eb="16">
      <t>イチブ</t>
    </rPh>
    <rPh sb="20" eb="22">
      <t>ゼンタイ</t>
    </rPh>
    <phoneticPr fontId="14"/>
  </si>
  <si>
    <t>※add(3-4)</t>
    <phoneticPr fontId="20"/>
  </si>
  <si>
    <t>※URL(3-4)</t>
    <phoneticPr fontId="20"/>
  </si>
  <si>
    <t>※条件(3-4)</t>
    <phoneticPr fontId="16"/>
  </si>
  <si>
    <t>訪問した他のページ：URLの一部 or 全体
訪問しなかったページ：URLの一部 or 全体
(3-4)</t>
    <rPh sb="0" eb="2">
      <t>ホウモン</t>
    </rPh>
    <rPh sb="4" eb="5">
      <t>ホカ</t>
    </rPh>
    <rPh sb="14" eb="16">
      <t>イチブ</t>
    </rPh>
    <rPh sb="20" eb="22">
      <t>ゼンタイ</t>
    </rPh>
    <phoneticPr fontId="14"/>
  </si>
  <si>
    <t>※ORかAND
およびorまたは3</t>
    <phoneticPr fontId="20"/>
  </si>
  <si>
    <t>訪問したページ：URLの一部 or 全体
特定のタグ：タグ名
特定のチャンネル:チャンネル名 or URL
特定の動画:動画名 or URL(1)</t>
    <rPh sb="0" eb="2">
      <t>ホウモン</t>
    </rPh>
    <rPh sb="12" eb="14">
      <t>イチブ</t>
    </rPh>
    <rPh sb="18" eb="20">
      <t>ゼンタイ</t>
    </rPh>
    <rPh sb="21" eb="23">
      <t>トクテイ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</si>
  <si>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URL(1)</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</si>
  <si>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URL(1-1)</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</si>
  <si>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URL(1-2)</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</si>
  <si>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URL(1-3)</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</si>
  <si>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URL(1-4)</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</si>
  <si>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</si>
  <si>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URL(2-1)</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</si>
  <si>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URL(2-2)</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</si>
  <si>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URL(2-3)</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</si>
  <si>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t>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</si>
  <si>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URL(2-4)</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</si>
  <si>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URL(3)</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</si>
  <si>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URL(3-1)</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</si>
  <si>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URL(3-2)</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</si>
  <si>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URL(3-3)</t>
    <rPh sb="0" eb="2">
      <t>ホウモン</t>
    </rPh>
    <rPh sb="12" eb="14">
      <t>イチブ</t>
    </rPh>
    <rPh sb="18" eb="20">
      <t>ゼンタイ</t>
    </rPh>
    <rPh sb="31" eb="33">
      <t>トクテイ</t>
    </rPh>
    <rPh sb="45" eb="46">
      <t>メイ</t>
    </rPh>
    <rPh sb="54" eb="56">
      <t>トクテイ</t>
    </rPh>
    <rPh sb="57" eb="59">
      <t>ドウガ</t>
    </rPh>
    <rPh sb="60" eb="62">
      <t>ドウガ</t>
    </rPh>
    <phoneticPr fontId="14"/>
  </si>
  <si>
    <t>訪問したページ：URLの一部 or 全体
特定のタグ：タグ名
特定のチャンネル:チャンネル名 or URL
特定の動画:動画名 or URL(3-4)</t>
    <rPh sb="0" eb="2">
      <t>ホウモン</t>
    </rPh>
    <rPh sb="12" eb="14">
      <t>イチブ</t>
    </rPh>
    <rPh sb="18" eb="20">
      <t>ゼンタイ</t>
    </rPh>
    <rPh sb="31" eb="33">
      <t>トクテイ</t>
    </rPh>
    <rPh sb="45" eb="46">
      <t>メイ</t>
    </rPh>
    <rPh sb="54" eb="56">
      <t>トクテイ</t>
    </rPh>
    <rPh sb="57" eb="59">
      <t>ドウガ</t>
    </rPh>
    <rPh sb="60" eb="62">
      <t>ドウガ</t>
    </rPh>
    <phoneticPr fontId="14"/>
  </si>
  <si>
    <t>※BS列より右側列はG媒体E列「リストのメンバー」にて”ページを訪問したユーザーのうち別のページも訪問したユーザー””ページを訪問したユーザー（別のページは訪問していないユーザー）”を選択した場合のみ利用。</t>
    <rPh sb="3" eb="4">
      <t>レツ</t>
    </rPh>
    <rPh sb="6" eb="7">
      <t>ミギ</t>
    </rPh>
    <rPh sb="7" eb="8">
      <t>ガワ</t>
    </rPh>
    <rPh sb="8" eb="9">
      <t>レツ</t>
    </rPh>
    <rPh sb="11" eb="13">
      <t>バイタイ</t>
    </rPh>
    <rPh sb="14" eb="15">
      <t>レツ</t>
    </rPh>
    <rPh sb="92" eb="94">
      <t>センタク</t>
    </rPh>
    <rPh sb="96" eb="98">
      <t>バアイ</t>
    </rPh>
    <rPh sb="100" eb="102">
      <t>リヨウ</t>
    </rPh>
    <phoneticPr fontId="14"/>
  </si>
  <si>
    <t>訪問_日付
※訪問日条件で「次の間」選択時は「（yyyymmdd～yyymmdd）」で記載</t>
    <rPh sb="0" eb="2">
      <t>ホウモン</t>
    </rPh>
    <rPh sb="3" eb="5">
      <t>ヒヅケ</t>
    </rPh>
    <rPh sb="7" eb="10">
      <t>ホウモンビ</t>
    </rPh>
    <rPh sb="10" eb="12">
      <t>ジョウケン</t>
    </rPh>
    <rPh sb="14" eb="15">
      <t>ツギ</t>
    </rPh>
    <rPh sb="16" eb="17">
      <t>アイダ</t>
    </rPh>
    <rPh sb="18" eb="20">
      <t>センタク</t>
    </rPh>
    <rPh sb="20" eb="21">
      <t>ドキ</t>
    </rPh>
    <rPh sb="43" eb="45">
      <t>キサイ</t>
    </rPh>
    <phoneticPr fontId="20"/>
  </si>
  <si>
    <t>訪問したページ：URLの一部 or 全体
特定のタグ：タグ名
特定のチャンネル:チャンネル名 or URL
特定の動画:動画名 or URL(1)</t>
    <phoneticPr fontId="14"/>
  </si>
  <si>
    <t>①G列「訪問日条件」H列「訪問_日付」項目＆BSより右側に「訪問した他のページ」「訪問しなかったページ」用の項目列を追加
②「タグソース」⇒「ルールグループ」項目名へ変更
③他一部項目名修正</t>
    <rPh sb="2" eb="3">
      <t>レツ</t>
    </rPh>
    <rPh sb="4" eb="7">
      <t>ホウモンビ</t>
    </rPh>
    <rPh sb="7" eb="9">
      <t>ジョウケン</t>
    </rPh>
    <rPh sb="11" eb="12">
      <t>レツ</t>
    </rPh>
    <rPh sb="19" eb="21">
      <t>コウモク</t>
    </rPh>
    <rPh sb="26" eb="28">
      <t>ミギガワ</t>
    </rPh>
    <rPh sb="52" eb="53">
      <t>ヨウ</t>
    </rPh>
    <rPh sb="54" eb="56">
      <t>コウモク</t>
    </rPh>
    <rPh sb="56" eb="57">
      <t>レツ</t>
    </rPh>
    <rPh sb="58" eb="60">
      <t>ツイカ</t>
    </rPh>
    <rPh sb="79" eb="81">
      <t>コウモク</t>
    </rPh>
    <rPh sb="81" eb="82">
      <t>メイ</t>
    </rPh>
    <rPh sb="83" eb="85">
      <t>ヘンコウ</t>
    </rPh>
    <rPh sb="87" eb="88">
      <t>ホカ</t>
    </rPh>
    <rPh sb="88" eb="90">
      <t>イチブ</t>
    </rPh>
    <rPh sb="90" eb="92">
      <t>コウモク</t>
    </rPh>
    <rPh sb="92" eb="93">
      <t>メイ</t>
    </rPh>
    <rPh sb="93" eb="95">
      <t>シュウセイ</t>
    </rPh>
    <phoneticPr fontId="20"/>
  </si>
  <si>
    <t>※自動入札を選択した場合は必ず入札自動入札の上限CPC/目標CPA/ROASを
入力してください。※ROAS設定時の％の記載は不要です。</t>
    <rPh sb="1" eb="3">
      <t>ジドウ</t>
    </rPh>
    <rPh sb="3" eb="5">
      <t>ニュウサツ</t>
    </rPh>
    <rPh sb="6" eb="8">
      <t>センタク</t>
    </rPh>
    <rPh sb="10" eb="12">
      <t>バアイ</t>
    </rPh>
    <rPh sb="13" eb="14">
      <t>カナラ</t>
    </rPh>
    <rPh sb="15" eb="17">
      <t>ニュウサツ</t>
    </rPh>
    <rPh sb="40" eb="42">
      <t>ニュウリョク</t>
    </rPh>
    <rPh sb="54" eb="56">
      <t>セッテイ</t>
    </rPh>
    <rPh sb="56" eb="57">
      <t>ジ</t>
    </rPh>
    <rPh sb="60" eb="62">
      <t>キサイ</t>
    </rPh>
    <rPh sb="63" eb="65">
      <t>フヨウ</t>
    </rPh>
    <phoneticPr fontId="20"/>
  </si>
  <si>
    <t>自動車ディーラー</t>
    <rPh sb="0" eb="3">
      <t>ジドウシャ</t>
    </rPh>
    <phoneticPr fontId="20"/>
  </si>
  <si>
    <t>小売チェーン</t>
    <rPh sb="0" eb="2">
      <t>コウリ</t>
    </rPh>
    <phoneticPr fontId="20"/>
  </si>
  <si>
    <t>チェーン店</t>
    <rPh sb="4" eb="5">
      <t>テン</t>
    </rPh>
    <phoneticPr fontId="20"/>
  </si>
  <si>
    <t>コンバージョン数の最大化</t>
    <rPh sb="7" eb="8">
      <t>スウ</t>
    </rPh>
    <rPh sb="9" eb="12">
      <t>サイダイカ</t>
    </rPh>
    <phoneticPr fontId="16"/>
  </si>
  <si>
    <t>広告表示オプション（関連付け）</t>
    <phoneticPr fontId="20"/>
  </si>
  <si>
    <t>梶田航平</t>
    <rPh sb="0" eb="2">
      <t>カジタ</t>
    </rPh>
    <rPh sb="2" eb="4">
      <t>コウヘイ</t>
    </rPh>
    <phoneticPr fontId="20"/>
  </si>
  <si>
    <t>入札戦略に「コンバージョン数最大化」を追加</t>
    <rPh sb="0" eb="2">
      <t>ニュウサツ</t>
    </rPh>
    <rPh sb="2" eb="4">
      <t>センリャク</t>
    </rPh>
    <rPh sb="13" eb="14">
      <t>スウ</t>
    </rPh>
    <rPh sb="14" eb="17">
      <t>サイダイカ</t>
    </rPh>
    <rPh sb="19" eb="21">
      <t>ツイカ</t>
    </rPh>
    <phoneticPr fontId="20"/>
  </si>
  <si>
    <t>広告表示オプション（共有）</t>
  </si>
  <si>
    <t>AZ列、BA列に列を追加し、アフェリエイト住所表示オプションをキャンペーン単位、広告グループ単位で紐づけを可能に変更</t>
    <rPh sb="2" eb="3">
      <t>レツ</t>
    </rPh>
    <rPh sb="6" eb="7">
      <t>レツ</t>
    </rPh>
    <rPh sb="8" eb="9">
      <t>レツ</t>
    </rPh>
    <rPh sb="10" eb="12">
      <t>ツイカ</t>
    </rPh>
    <rPh sb="37" eb="39">
      <t>タンイ</t>
    </rPh>
    <rPh sb="40" eb="42">
      <t>コウコク</t>
    </rPh>
    <rPh sb="46" eb="48">
      <t>タンイ</t>
    </rPh>
    <rPh sb="49" eb="50">
      <t>ヒモ</t>
    </rPh>
    <rPh sb="53" eb="55">
      <t>カノウ</t>
    </rPh>
    <rPh sb="56" eb="58">
      <t>ヘンコウ</t>
    </rPh>
    <phoneticPr fontId="20"/>
  </si>
  <si>
    <t>アフェリエイト住所表示オプションの小売チェーンに「自動車ディーラー」追加</t>
    <rPh sb="7" eb="9">
      <t>ジュウショ</t>
    </rPh>
    <rPh sb="9" eb="11">
      <t>ヒョウジ</t>
    </rPh>
    <rPh sb="17" eb="19">
      <t>コウ</t>
    </rPh>
    <rPh sb="25" eb="28">
      <t>ジドウシャ</t>
    </rPh>
    <rPh sb="34" eb="36">
      <t>ツイカ</t>
    </rPh>
    <phoneticPr fontId="20"/>
  </si>
  <si>
    <t>10.0</t>
    <phoneticPr fontId="20"/>
  </si>
  <si>
    <t>選択肢なし</t>
    <rPh sb="0" eb="3">
      <t>センタクシ</t>
    </rPh>
    <phoneticPr fontId="16"/>
  </si>
  <si>
    <t>OR/AND
（または/および）1</t>
  </si>
  <si>
    <t>OR/AND
（または/および）2</t>
  </si>
  <si>
    <t>OR/AND
（または/および）3</t>
  </si>
  <si>
    <t>※OR/AND
（または/および）1</t>
  </si>
  <si>
    <t>※OR/AND
（または/および）2</t>
  </si>
  <si>
    <t>※OR/AND
（または/および）3</t>
  </si>
  <si>
    <t>ORかAND</t>
    <phoneticPr fontId="20"/>
  </si>
  <si>
    <t>入力規則</t>
    <rPh sb="0" eb="2">
      <t>ニュウリョク</t>
    </rPh>
    <rPh sb="2" eb="4">
      <t>キソク</t>
    </rPh>
    <phoneticPr fontId="20"/>
  </si>
  <si>
    <t>・名前定義「選択肢なし」を追加。
・説明文位置「2番の位置のみに表示」の「2」と「番」の間に半角スペースを挿入。（レスポンシブ検索(β)の転記処理で不具合が発生していたため）</t>
    <rPh sb="1" eb="3">
      <t>ナマエ</t>
    </rPh>
    <rPh sb="3" eb="5">
      <t>テイギ</t>
    </rPh>
    <rPh sb="6" eb="9">
      <t>センタクシ</t>
    </rPh>
    <rPh sb="13" eb="15">
      <t>ツイカ</t>
    </rPh>
    <rPh sb="18" eb="21">
      <t>セツメイブン</t>
    </rPh>
    <rPh sb="21" eb="23">
      <t>イチ</t>
    </rPh>
    <rPh sb="41" eb="42">
      <t>バン</t>
    </rPh>
    <rPh sb="44" eb="45">
      <t>アイダ</t>
    </rPh>
    <rPh sb="46" eb="48">
      <t>ハンカク</t>
    </rPh>
    <rPh sb="53" eb="55">
      <t>ソウニュウ</t>
    </rPh>
    <rPh sb="74" eb="77">
      <t>フグアイ</t>
    </rPh>
    <rPh sb="78" eb="80">
      <t>ハッセイ</t>
    </rPh>
    <phoneticPr fontId="20"/>
  </si>
  <si>
    <t>酒井美希</t>
    <rPh sb="0" eb="2">
      <t>サカイ</t>
    </rPh>
    <rPh sb="2" eb="4">
      <t>ミキ</t>
    </rPh>
    <phoneticPr fontId="20"/>
  </si>
  <si>
    <t>地域
(都道府県)</t>
    <rPh sb="0" eb="2">
      <t>チイキ</t>
    </rPh>
    <rPh sb="4" eb="8">
      <t>トドウフケン</t>
    </rPh>
    <phoneticPr fontId="28"/>
  </si>
  <si>
    <t>地域
(市区町村)</t>
    <rPh sb="0" eb="2">
      <t>チイキ</t>
    </rPh>
    <rPh sb="4" eb="6">
      <t>シク</t>
    </rPh>
    <rPh sb="6" eb="8">
      <t>チョウソン</t>
    </rPh>
    <phoneticPr fontId="28"/>
  </si>
  <si>
    <t>更新</t>
    <rPh sb="0" eb="2">
      <t>コウシン</t>
    </rPh>
    <phoneticPr fontId="20"/>
  </si>
  <si>
    <t>「市区町村」列を追加</t>
    <rPh sb="6" eb="7">
      <t>レツ</t>
    </rPh>
    <rPh sb="8" eb="10">
      <t>ツイカ</t>
    </rPh>
    <phoneticPr fontId="20"/>
  </si>
  <si>
    <t>鳥羽由里子</t>
    <rPh sb="0" eb="2">
      <t>トバ</t>
    </rPh>
    <rPh sb="2" eb="5">
      <t>ユリコ</t>
    </rPh>
    <phoneticPr fontId="20"/>
  </si>
  <si>
    <t>10.1</t>
    <phoneticPr fontId="2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</si>
</sst>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8" formatCode="&quot;¥&quot;#,##0.00;[Red]&quot;¥&quot;\-#,##0.00"/>
    <numFmt numFmtId="176" formatCode="0_);[Red]\(0\)"/>
    <numFmt numFmtId="177" formatCode="&quot;¥&quot;#,##0_);[Red]\(&quot;¥&quot;#,##0\)"/>
    <numFmt numFmtId="178" formatCode="[$-F800]dddd\,\ mmmm\ dd\,\ yyyy"/>
    <numFmt numFmtId="179" formatCode="yyyy/mm/dd\ hh:mm:ss"/>
  </numFmts>
  <fonts count="81">
    <font>
      <sz val="11"/>
      <color theme="1"/>
      <name val="メイリオ"/>
      <family val="3"/>
      <charset val="128"/>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11"/>
      <color theme="1"/>
      <name val="メイリオ"/>
      <family val="2"/>
      <charset val="128"/>
      <scheme val="minor"/>
    </font>
    <font>
      <sz val="6"/>
      <name val="メイリオ"/>
      <family val="2"/>
      <charset val="128"/>
      <scheme val="minor"/>
    </font>
    <font>
      <b/>
      <sz val="10"/>
      <color theme="1"/>
      <name val="メイリオ"/>
      <family val="3"/>
      <charset val="128"/>
    </font>
    <font>
      <sz val="6"/>
      <name val="メイリオ"/>
      <family val="2"/>
      <charset val="128"/>
    </font>
    <font>
      <sz val="9"/>
      <color theme="1"/>
      <name val="メイリオ"/>
      <family val="3"/>
      <charset val="128"/>
    </font>
    <font>
      <sz val="9"/>
      <color theme="0"/>
      <name val="メイリオ"/>
      <family val="3"/>
      <charset val="128"/>
    </font>
    <font>
      <sz val="9"/>
      <name val="メイリオ"/>
      <family val="3"/>
      <charset val="128"/>
    </font>
    <font>
      <sz val="6"/>
      <name val="メイリオ"/>
      <family val="3"/>
      <charset val="128"/>
    </font>
    <font>
      <b/>
      <sz val="9"/>
      <color theme="1"/>
      <name val="メイリオ"/>
      <family val="3"/>
      <charset val="128"/>
    </font>
    <font>
      <b/>
      <sz val="9"/>
      <name val="メイリオ"/>
      <family val="3"/>
      <charset val="128"/>
    </font>
    <font>
      <b/>
      <sz val="9"/>
      <color theme="0"/>
      <name val="メイリオ"/>
      <family val="3"/>
      <charset val="128"/>
    </font>
    <font>
      <u/>
      <sz val="9"/>
      <color theme="1"/>
      <name val="メイリオ"/>
      <family val="3"/>
      <charset val="128"/>
    </font>
    <font>
      <sz val="9"/>
      <color rgb="FF00B050"/>
      <name val="メイリオ"/>
      <family val="3"/>
      <charset val="128"/>
    </font>
    <font>
      <sz val="9"/>
      <color rgb="FF0000FF"/>
      <name val="メイリオ"/>
      <family val="3"/>
      <charset val="128"/>
    </font>
    <font>
      <b/>
      <u/>
      <sz val="9"/>
      <color rgb="FF0000FF"/>
      <name val="メイリオ"/>
      <family val="3"/>
      <charset val="128"/>
    </font>
    <font>
      <sz val="9"/>
      <color theme="0" tint="-0.14999847407452621"/>
      <name val="メイリオ"/>
      <family val="3"/>
      <charset val="128"/>
    </font>
    <font>
      <sz val="11"/>
      <color theme="1"/>
      <name val="メイリオ"/>
      <family val="3"/>
      <charset val="128"/>
    </font>
    <font>
      <b/>
      <sz val="11"/>
      <color theme="1"/>
      <name val="メイリオ"/>
      <family val="3"/>
      <charset val="128"/>
    </font>
    <font>
      <sz val="11"/>
      <color theme="0"/>
      <name val="メイリオ"/>
      <family val="3"/>
      <charset val="128"/>
    </font>
    <font>
      <b/>
      <sz val="9"/>
      <color rgb="FFFF0000"/>
      <name val="メイリオ"/>
      <family val="3"/>
      <charset val="128"/>
    </font>
    <font>
      <b/>
      <sz val="20"/>
      <color theme="1"/>
      <name val="メイリオ"/>
      <family val="3"/>
      <charset val="128"/>
    </font>
    <font>
      <sz val="11"/>
      <color rgb="FFFF0000"/>
      <name val="メイリオ"/>
      <family val="3"/>
      <charset val="128"/>
    </font>
    <font>
      <b/>
      <sz val="11"/>
      <color theme="0"/>
      <name val="メイリオ"/>
      <family val="3"/>
      <charset val="128"/>
    </font>
    <font>
      <sz val="11"/>
      <name val="メイリオ"/>
      <family val="3"/>
      <charset val="128"/>
    </font>
    <font>
      <b/>
      <sz val="9"/>
      <color theme="1" tint="0.249977111117893"/>
      <name val="メイリオ"/>
      <family val="3"/>
      <charset val="128"/>
    </font>
    <font>
      <b/>
      <sz val="11"/>
      <color rgb="FFFF0000"/>
      <name val="Meiryo UI"/>
      <family val="3"/>
      <charset val="128"/>
    </font>
    <font>
      <b/>
      <sz val="16"/>
      <color theme="1" tint="0.249977111117893"/>
      <name val="Meiryo UI"/>
      <family val="3"/>
      <charset val="128"/>
    </font>
    <font>
      <sz val="10"/>
      <color theme="1"/>
      <name val="Arial"/>
      <family val="2"/>
    </font>
    <font>
      <sz val="11"/>
      <color rgb="FF000000"/>
      <name val="Arial"/>
      <family val="2"/>
    </font>
    <font>
      <b/>
      <u/>
      <sz val="9"/>
      <name val="メイリオ"/>
      <family val="3"/>
      <charset val="128"/>
    </font>
    <font>
      <sz val="11"/>
      <color theme="1"/>
      <name val="メイリオ"/>
      <family val="2"/>
      <scheme val="minor"/>
    </font>
    <font>
      <sz val="8"/>
      <color theme="1"/>
      <name val="メイリオ"/>
      <family val="3"/>
      <charset val="128"/>
    </font>
    <font>
      <b/>
      <sz val="8"/>
      <color theme="0"/>
      <name val="メイリオ"/>
      <family val="3"/>
      <charset val="128"/>
    </font>
    <font>
      <sz val="8"/>
      <color theme="0"/>
      <name val="メイリオ"/>
      <family val="3"/>
      <charset val="128"/>
    </font>
    <font>
      <b/>
      <sz val="8"/>
      <color rgb="FFFF0000"/>
      <name val="メイリオ"/>
      <family val="3"/>
      <charset val="128"/>
    </font>
    <font>
      <sz val="8"/>
      <name val="メイリオ"/>
      <family val="3"/>
      <charset val="128"/>
    </font>
    <font>
      <sz val="8"/>
      <color rgb="FFFF0000"/>
      <name val="メイリオ"/>
      <family val="3"/>
      <charset val="128"/>
    </font>
    <font>
      <sz val="11"/>
      <color theme="1"/>
      <name val="メイリオ"/>
      <family val="3"/>
      <charset val="128"/>
      <scheme val="minor"/>
    </font>
    <font>
      <b/>
      <sz val="10"/>
      <name val="Arial"/>
      <family val="2"/>
    </font>
    <font>
      <strike/>
      <sz val="8"/>
      <color theme="1"/>
      <name val="メイリオ"/>
      <family val="3"/>
      <charset val="128"/>
    </font>
    <font>
      <strike/>
      <sz val="8"/>
      <color rgb="FFFF0000"/>
      <name val="メイリオ"/>
      <family val="3"/>
      <charset val="128"/>
    </font>
    <font>
      <sz val="7"/>
      <name val="Small Fonts"/>
      <family val="3"/>
      <charset val="128"/>
    </font>
    <font>
      <sz val="11"/>
      <name val="ＭＳ Ｐゴシック"/>
      <family val="3"/>
      <charset val="128"/>
    </font>
    <font>
      <sz val="9"/>
      <color theme="1"/>
      <name val="Meiryo UI"/>
      <family val="3"/>
      <charset val="128"/>
    </font>
    <font>
      <sz val="9"/>
      <color rgb="FFFF0000"/>
      <name val="Meiryo UI"/>
      <family val="3"/>
      <charset val="128"/>
    </font>
    <font>
      <b/>
      <sz val="9"/>
      <color theme="1"/>
      <name val="Meiryo UI"/>
      <family val="3"/>
      <charset val="128"/>
    </font>
    <font>
      <sz val="10"/>
      <color rgb="FF000000"/>
      <name val="メイリオ"/>
      <family val="3"/>
      <charset val="128"/>
    </font>
    <font>
      <sz val="11"/>
      <color rgb="FF0000FF"/>
      <name val="メイリオ"/>
      <family val="3"/>
      <charset val="128"/>
    </font>
    <font>
      <sz val="6"/>
      <name val="メイリオ"/>
      <family val="3"/>
      <charset val="128"/>
      <scheme val="minor"/>
    </font>
    <font>
      <u/>
      <sz val="11"/>
      <color theme="1"/>
      <name val="メイリオ"/>
      <family val="3"/>
      <charset val="128"/>
    </font>
    <font>
      <sz val="8"/>
      <color theme="1"/>
      <name val="メイリオ"/>
      <family val="2"/>
      <charset val="128"/>
    </font>
    <font>
      <sz val="8"/>
      <color rgb="FF0070C0"/>
      <name val="メイリオ"/>
      <family val="3"/>
      <charset val="128"/>
    </font>
    <font>
      <u/>
      <sz val="8"/>
      <color theme="10"/>
      <name val="メイリオ"/>
      <family val="2"/>
      <charset val="128"/>
    </font>
    <font>
      <sz val="8"/>
      <color theme="0" tint="-0.34998626667073579"/>
      <name val="メイリオ"/>
      <family val="2"/>
      <charset val="128"/>
    </font>
    <font>
      <u/>
      <sz val="8"/>
      <color theme="0" tint="-0.34998626667073579"/>
      <name val="メイリオ"/>
      <family val="3"/>
      <charset val="128"/>
    </font>
    <font>
      <sz val="8"/>
      <color theme="0" tint="-0.34998626667073579"/>
      <name val="メイリオ"/>
      <family val="3"/>
      <charset val="128"/>
    </font>
    <font>
      <sz val="6"/>
      <color theme="0"/>
      <name val="メイリオ"/>
      <family val="3"/>
      <charset val="128"/>
    </font>
    <font>
      <sz val="6"/>
      <color theme="1"/>
      <name val="メイリオ"/>
      <family val="2"/>
      <charset val="128"/>
    </font>
    <font>
      <sz val="6"/>
      <color theme="0"/>
      <name val="メイリオ"/>
      <family val="2"/>
      <charset val="128"/>
    </font>
    <font>
      <sz val="6"/>
      <color theme="0"/>
      <name val="Meiryo UI"/>
      <family val="3"/>
      <charset val="128"/>
    </font>
    <font>
      <sz val="6"/>
      <color theme="1"/>
      <name val="メイリオ"/>
      <family val="3"/>
      <charset val="128"/>
    </font>
    <font>
      <sz val="10"/>
      <color theme="0"/>
      <name val="Arial"/>
      <family val="2"/>
    </font>
    <font>
      <b/>
      <sz val="11"/>
      <color rgb="FFFF0000"/>
      <name val="メイリオ"/>
      <family val="3"/>
      <charset val="128"/>
    </font>
    <font>
      <sz val="10"/>
      <color rgb="FFFF0000"/>
      <name val="Arial"/>
      <family val="2"/>
    </font>
    <font>
      <b/>
      <sz val="8"/>
      <color theme="1"/>
      <name val="メイリオ"/>
      <family val="3"/>
      <charset val="128"/>
    </font>
    <font>
      <sz val="9"/>
      <color rgb="FF000000"/>
      <name val="メイリオ"/>
      <family val="3"/>
      <charset val="128"/>
    </font>
    <font>
      <u/>
      <sz val="11"/>
      <color theme="10"/>
      <name val="メイリオ"/>
      <family val="3"/>
      <charset val="128"/>
      <scheme val="minor"/>
    </font>
    <font>
      <b/>
      <sz val="6"/>
      <color rgb="FF0000FF"/>
      <name val="メイリオ"/>
      <family val="3"/>
      <charset val="128"/>
    </font>
  </fonts>
  <fills count="31">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6" tint="-0.249977111117893"/>
        <bgColor indexed="64"/>
      </patternFill>
    </fill>
    <fill>
      <patternFill patternType="solid">
        <fgColor theme="0" tint="-0.499984740745262"/>
        <bgColor indexed="64"/>
      </patternFill>
    </fill>
    <fill>
      <patternFill patternType="solid">
        <fgColor rgb="FFFFFFCC"/>
        <bgColor indexed="64"/>
      </patternFill>
    </fill>
    <fill>
      <patternFill patternType="solid">
        <fgColor rgb="FF00B05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rgb="FF0077C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4"/>
        <bgColor indexed="64"/>
      </patternFill>
    </fill>
    <fill>
      <patternFill patternType="solid">
        <fgColor rgb="FFFFCCCC"/>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CCCCFF"/>
        <bgColor indexed="64"/>
      </patternFill>
    </fill>
  </fills>
  <borders count="107">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0"/>
      </right>
      <top style="thin">
        <color theme="1" tint="0.499984740745262"/>
      </top>
      <bottom style="thin">
        <color theme="0"/>
      </bottom>
      <diagonal/>
    </border>
    <border>
      <left style="thin">
        <color theme="1" tint="0.499984740745262"/>
      </left>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top/>
      <bottom/>
      <diagonal/>
    </border>
    <border>
      <left style="thin">
        <color indexed="64"/>
      </left>
      <right style="thin">
        <color indexed="64"/>
      </right>
      <top style="hair">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right/>
      <top style="thin">
        <color theme="1" tint="0.499984740745262"/>
      </top>
      <bottom style="thin">
        <color theme="1" tint="0.499984740745262"/>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right style="thin">
        <color theme="0" tint="-0.14996795556505021"/>
      </right>
      <top style="thin">
        <color theme="0" tint="-0.14996795556505021"/>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indexed="64"/>
      </left>
      <right/>
      <top style="thin">
        <color indexed="64"/>
      </top>
      <bottom style="thin">
        <color theme="1" tint="0.499984740745262"/>
      </bottom>
      <diagonal/>
    </border>
    <border>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0" tint="-0.499984740745262"/>
      </left>
      <right style="thin">
        <color theme="0" tint="-0.499984740745262"/>
      </right>
      <top/>
      <bottom style="thin">
        <color theme="0" tint="-0.499984740745262"/>
      </bottom>
      <diagonal/>
    </border>
    <border>
      <left style="medium">
        <color indexed="64"/>
      </left>
      <right style="medium">
        <color indexed="64"/>
      </right>
      <top style="medium">
        <color indexed="64"/>
      </top>
      <bottom style="medium">
        <color indexed="64"/>
      </bottom>
      <diagonal/>
    </border>
    <border>
      <left style="thin">
        <color theme="1" tint="0.499984740745262"/>
      </left>
      <right style="thin">
        <color theme="0"/>
      </right>
      <top/>
      <bottom style="thin">
        <color theme="0"/>
      </bottom>
      <diagonal/>
    </border>
    <border>
      <left/>
      <right/>
      <top style="thin">
        <color theme="1" tint="0.499984740745262"/>
      </top>
      <bottom/>
      <diagonal/>
    </border>
    <border>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indexed="64"/>
      </left>
      <right style="thin">
        <color indexed="64"/>
      </right>
      <top style="double">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1" tint="0.499984740745262"/>
      </left>
      <right/>
      <top/>
      <bottom style="thin">
        <color theme="0"/>
      </bottom>
      <diagonal/>
    </border>
    <border>
      <left style="thin">
        <color theme="1" tint="0.499984740745262"/>
      </left>
      <right style="thin">
        <color theme="1" tint="0.499984740745262"/>
      </right>
      <top/>
      <bottom style="thin">
        <color theme="0" tint="-0.499984740745262"/>
      </bottom>
      <diagonal/>
    </border>
    <border>
      <left style="thin">
        <color indexed="64"/>
      </left>
      <right style="thin">
        <color indexed="64"/>
      </right>
      <top style="double">
        <color indexed="64"/>
      </top>
      <bottom/>
      <diagonal/>
    </border>
    <border>
      <left/>
      <right/>
      <top style="medium">
        <color indexed="64"/>
      </top>
      <bottom/>
      <diagonal/>
    </border>
    <border>
      <left/>
      <right/>
      <top style="thin">
        <color rgb="FF808080"/>
      </top>
      <bottom style="thin">
        <color rgb="FF808080"/>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style="thin">
        <color rgb="FF808080"/>
      </right>
      <top style="thin">
        <color rgb="FF808080"/>
      </top>
      <bottom style="thin">
        <color rgb="FF808080"/>
      </bottom>
      <diagonal/>
    </border>
    <border>
      <left style="thin">
        <color theme="1" tint="0.499984740745262"/>
      </left>
      <right/>
      <top/>
      <bottom/>
      <diagonal/>
    </border>
    <border>
      <left style="thin">
        <color rgb="FF808080"/>
      </left>
      <right style="thin">
        <color rgb="FF808080"/>
      </right>
      <top style="thin">
        <color rgb="FF808080"/>
      </top>
      <bottom/>
      <diagonal/>
    </border>
    <border>
      <left style="thin">
        <color rgb="FF808080"/>
      </left>
      <right/>
      <top style="thin">
        <color rgb="FF808080"/>
      </top>
      <bottom style="thin">
        <color rgb="FF808080"/>
      </bottom>
      <diagonal/>
    </border>
    <border>
      <left style="thin">
        <color rgb="FF808080"/>
      </left>
      <right style="thin">
        <color theme="1" tint="0.499984740745262"/>
      </right>
      <top style="thin">
        <color rgb="FF808080"/>
      </top>
      <bottom/>
      <diagonal/>
    </border>
    <border>
      <left style="thin">
        <color indexed="64"/>
      </left>
      <right style="thin">
        <color theme="1" tint="0.499984740745262"/>
      </right>
      <top style="thin">
        <color theme="1" tint="0.499984740745262"/>
      </top>
      <bottom/>
      <diagonal/>
    </border>
    <border>
      <left style="thin">
        <color rgb="FF808080"/>
      </left>
      <right style="thin">
        <color rgb="FF808080"/>
      </right>
      <top/>
      <bottom/>
      <diagonal/>
    </border>
    <border>
      <left style="thin">
        <color rgb="FF808080"/>
      </left>
      <right style="thin">
        <color theme="1" tint="0.499984740745262"/>
      </right>
      <top/>
      <bottom/>
      <diagonal/>
    </border>
    <border>
      <left style="thin">
        <color indexed="64"/>
      </left>
      <right style="thin">
        <color theme="1" tint="0.499984740745262"/>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1" tint="0.499984740745262"/>
      </bottom>
      <diagonal/>
    </border>
  </borders>
  <cellStyleXfs count="77">
    <xf numFmtId="0" fontId="0" fillId="0" borderId="0">
      <alignment vertical="center"/>
    </xf>
    <xf numFmtId="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29" fillId="0" borderId="0">
      <alignment vertical="center"/>
    </xf>
    <xf numFmtId="0" fontId="12" fillId="0" borderId="0">
      <alignment vertical="center"/>
    </xf>
    <xf numFmtId="0" fontId="12" fillId="0" borderId="0">
      <alignment vertical="center"/>
    </xf>
    <xf numFmtId="9" fontId="29" fillId="0" borderId="0" applyFont="0" applyFill="0" applyBorder="0" applyAlignment="0" applyProtection="0">
      <alignment vertical="center"/>
    </xf>
    <xf numFmtId="0" fontId="11" fillId="0" borderId="0">
      <alignment vertical="center"/>
    </xf>
    <xf numFmtId="0" fontId="10" fillId="0" borderId="0">
      <alignment vertical="center"/>
    </xf>
    <xf numFmtId="0" fontId="10" fillId="0" borderId="0">
      <alignment vertical="center"/>
    </xf>
    <xf numFmtId="6" fontId="10" fillId="0" borderId="0" applyFont="0" applyFill="0" applyBorder="0" applyAlignment="0" applyProtection="0">
      <alignment vertical="center"/>
    </xf>
    <xf numFmtId="38" fontId="29" fillId="0" borderId="0" applyFont="0" applyFill="0" applyBorder="0" applyAlignment="0" applyProtection="0">
      <alignment vertical="center"/>
    </xf>
    <xf numFmtId="0" fontId="10"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6" fontId="7" fillId="0" borderId="0" applyFont="0" applyFill="0" applyBorder="0" applyAlignment="0" applyProtection="0">
      <alignment vertical="center"/>
    </xf>
    <xf numFmtId="0" fontId="43" fillId="0" borderId="0"/>
    <xf numFmtId="0" fontId="6" fillId="0" borderId="0">
      <alignment vertical="center"/>
    </xf>
    <xf numFmtId="0" fontId="29" fillId="0" borderId="0">
      <alignment vertical="center"/>
    </xf>
    <xf numFmtId="0" fontId="6" fillId="0" borderId="0">
      <alignment vertical="center"/>
    </xf>
    <xf numFmtId="0" fontId="6" fillId="0" borderId="0">
      <alignment vertical="center"/>
    </xf>
    <xf numFmtId="0" fontId="43" fillId="0" borderId="0"/>
    <xf numFmtId="0" fontId="5" fillId="0" borderId="0">
      <alignment vertical="center"/>
    </xf>
    <xf numFmtId="0" fontId="63" fillId="0" borderId="0">
      <alignment vertical="center"/>
    </xf>
    <xf numFmtId="0" fontId="50" fillId="0" borderId="0">
      <alignment vertical="center"/>
    </xf>
    <xf numFmtId="0" fontId="65" fillId="0" borderId="0" applyNumberFormat="0" applyFill="0" applyBorder="0" applyAlignment="0" applyProtection="0">
      <alignment vertical="center"/>
    </xf>
    <xf numFmtId="0" fontId="4" fillId="0" borderId="0">
      <alignment vertical="center"/>
    </xf>
    <xf numFmtId="6"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6"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6"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6"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6"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6"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63" fillId="0" borderId="0">
      <alignment vertical="center"/>
    </xf>
    <xf numFmtId="0" fontId="79" fillId="0" borderId="0" applyNumberFormat="0" applyFill="0" applyBorder="0" applyAlignment="0" applyProtection="0">
      <alignment vertical="center"/>
    </xf>
  </cellStyleXfs>
  <cellXfs count="533">
    <xf numFmtId="0" fontId="0" fillId="0" borderId="0" xfId="0">
      <alignment vertical="center"/>
    </xf>
    <xf numFmtId="0" fontId="17" fillId="0" borderId="0" xfId="0" applyFont="1">
      <alignment vertical="center"/>
    </xf>
    <xf numFmtId="0" fontId="17" fillId="0" borderId="0" xfId="0" applyFont="1" applyAlignment="1">
      <alignment horizontal="center" vertical="center"/>
    </xf>
    <xf numFmtId="0" fontId="17" fillId="0" borderId="1" xfId="0" applyFont="1" applyBorder="1" applyAlignment="1">
      <alignment horizontal="left" vertical="center"/>
    </xf>
    <xf numFmtId="0" fontId="21" fillId="0" borderId="0" xfId="3" applyFont="1" applyAlignment="1">
      <alignment horizontal="left" vertical="center"/>
    </xf>
    <xf numFmtId="0" fontId="21" fillId="0" borderId="0" xfId="0" applyFont="1">
      <alignment vertical="center"/>
    </xf>
    <xf numFmtId="0" fontId="17" fillId="0" borderId="0" xfId="0" applyFont="1" applyAlignment="1">
      <alignment horizontal="left" vertical="center"/>
    </xf>
    <xf numFmtId="0" fontId="17" fillId="0" borderId="2" xfId="0" applyFont="1" applyBorder="1">
      <alignment vertical="center"/>
    </xf>
    <xf numFmtId="0" fontId="24" fillId="0" borderId="0" xfId="0" applyFont="1">
      <alignment vertical="center"/>
    </xf>
    <xf numFmtId="14" fontId="17" fillId="0" borderId="0" xfId="0" applyNumberFormat="1" applyFont="1">
      <alignment vertical="center"/>
    </xf>
    <xf numFmtId="0" fontId="17" fillId="0" borderId="0" xfId="0" applyFont="1" applyAlignment="1">
      <alignment horizontal="right" vertical="center"/>
    </xf>
    <xf numFmtId="0" fontId="18" fillId="7" borderId="13" xfId="0" applyFont="1" applyFill="1" applyBorder="1" applyAlignment="1">
      <alignment horizontal="center" vertical="center"/>
    </xf>
    <xf numFmtId="0" fontId="18" fillId="7" borderId="14" xfId="0" applyFont="1" applyFill="1" applyBorder="1" applyAlignment="1">
      <alignment horizontal="center" vertical="center"/>
    </xf>
    <xf numFmtId="0" fontId="18" fillId="7" borderId="15" xfId="0" applyFont="1" applyFill="1" applyBorder="1" applyAlignment="1">
      <alignment horizontal="center" vertical="center"/>
    </xf>
    <xf numFmtId="0" fontId="18" fillId="7" borderId="16" xfId="0" applyFont="1" applyFill="1" applyBorder="1" applyAlignment="1">
      <alignment horizontal="center" vertical="center"/>
    </xf>
    <xf numFmtId="0" fontId="25" fillId="8" borderId="9" xfId="0" applyFont="1" applyFill="1" applyBorder="1">
      <alignment vertical="center"/>
    </xf>
    <xf numFmtId="0" fontId="17" fillId="8" borderId="0" xfId="0" applyFont="1" applyFill="1">
      <alignment vertical="center"/>
    </xf>
    <xf numFmtId="0" fontId="18" fillId="7" borderId="18" xfId="0" applyFont="1" applyFill="1" applyBorder="1" applyAlignment="1">
      <alignment horizontal="center" vertical="center"/>
    </xf>
    <xf numFmtId="0" fontId="17" fillId="8" borderId="9" xfId="0" applyFont="1" applyFill="1" applyBorder="1">
      <alignment vertical="center"/>
    </xf>
    <xf numFmtId="0" fontId="18" fillId="7" borderId="19" xfId="0" applyFont="1" applyFill="1" applyBorder="1" applyAlignment="1">
      <alignment horizontal="center" vertical="center"/>
    </xf>
    <xf numFmtId="0" fontId="18" fillId="7" borderId="20" xfId="0" applyFont="1" applyFill="1" applyBorder="1" applyAlignment="1">
      <alignment horizontal="center" vertical="center"/>
    </xf>
    <xf numFmtId="0" fontId="26" fillId="8" borderId="22" xfId="0" applyFont="1" applyFill="1" applyBorder="1">
      <alignment vertical="center"/>
    </xf>
    <xf numFmtId="0" fontId="26" fillId="8" borderId="23" xfId="0" applyFont="1" applyFill="1" applyBorder="1">
      <alignment vertical="center"/>
    </xf>
    <xf numFmtId="0" fontId="17" fillId="8" borderId="10" xfId="0" applyFont="1" applyFill="1" applyBorder="1">
      <alignment vertical="center"/>
    </xf>
    <xf numFmtId="0" fontId="27" fillId="8" borderId="11" xfId="0" applyFont="1" applyFill="1" applyBorder="1">
      <alignment vertical="center"/>
    </xf>
    <xf numFmtId="0" fontId="17" fillId="8" borderId="12" xfId="0" applyFont="1" applyFill="1" applyBorder="1">
      <alignment vertical="center"/>
    </xf>
    <xf numFmtId="0" fontId="27" fillId="8" borderId="12" xfId="0" applyFont="1" applyFill="1" applyBorder="1">
      <alignment vertical="center"/>
    </xf>
    <xf numFmtId="0" fontId="17" fillId="8" borderId="17" xfId="0" applyFont="1" applyFill="1" applyBorder="1">
      <alignment vertical="center"/>
    </xf>
    <xf numFmtId="0" fontId="18" fillId="9" borderId="0" xfId="0" applyFont="1" applyFill="1" applyAlignment="1">
      <alignment horizontal="center" vertical="center"/>
    </xf>
    <xf numFmtId="0" fontId="17" fillId="8" borderId="21" xfId="0" applyFont="1" applyFill="1" applyBorder="1">
      <alignment vertical="center"/>
    </xf>
    <xf numFmtId="0" fontId="17" fillId="8" borderId="22" xfId="0" applyFont="1" applyFill="1" applyBorder="1">
      <alignment vertical="center"/>
    </xf>
    <xf numFmtId="0" fontId="25" fillId="8" borderId="0" xfId="0" applyFont="1" applyFill="1">
      <alignment vertical="center"/>
    </xf>
    <xf numFmtId="0" fontId="29" fillId="0" borderId="0" xfId="5">
      <alignment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14" fontId="0" fillId="0" borderId="30" xfId="0" applyNumberFormat="1" applyBorder="1" applyAlignment="1">
      <alignment horizontal="center" vertical="center"/>
    </xf>
    <xf numFmtId="0" fontId="0" fillId="0" borderId="26"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30" fillId="0" borderId="0" xfId="0" applyFont="1">
      <alignment vertical="center"/>
    </xf>
    <xf numFmtId="0" fontId="32" fillId="0" borderId="0" xfId="0" applyFont="1" applyAlignment="1">
      <alignment horizontal="center" vertical="center"/>
    </xf>
    <xf numFmtId="0" fontId="17" fillId="2" borderId="0" xfId="0" applyFont="1" applyFill="1">
      <alignment vertical="center"/>
    </xf>
    <xf numFmtId="0" fontId="31" fillId="5" borderId="7" xfId="0" applyFont="1" applyFill="1" applyBorder="1" applyAlignment="1">
      <alignment vertical="center" wrapText="1"/>
    </xf>
    <xf numFmtId="0" fontId="34" fillId="12" borderId="7" xfId="0" applyFont="1" applyFill="1" applyBorder="1">
      <alignment vertical="center"/>
    </xf>
    <xf numFmtId="0" fontId="0" fillId="0" borderId="7" xfId="0" applyBorder="1">
      <alignment vertical="center"/>
    </xf>
    <xf numFmtId="0" fontId="0" fillId="0" borderId="7" xfId="0" applyBorder="1" applyAlignment="1">
      <alignment horizontal="center" vertical="center"/>
    </xf>
    <xf numFmtId="0" fontId="36" fillId="0" borderId="7" xfId="0" applyFont="1" applyBorder="1">
      <alignment vertical="center"/>
    </xf>
    <xf numFmtId="0" fontId="33" fillId="0" borderId="0" xfId="0" applyFont="1">
      <alignment vertical="center"/>
    </xf>
    <xf numFmtId="0" fontId="31" fillId="0" borderId="0" xfId="0" applyFont="1">
      <alignment vertical="center"/>
    </xf>
    <xf numFmtId="0" fontId="35" fillId="13" borderId="7" xfId="0" applyFont="1" applyFill="1" applyBorder="1">
      <alignment vertical="center"/>
    </xf>
    <xf numFmtId="0" fontId="35" fillId="13" borderId="7" xfId="0" applyFont="1" applyFill="1" applyBorder="1" applyAlignment="1">
      <alignment horizontal="center" vertical="center"/>
    </xf>
    <xf numFmtId="0" fontId="38" fillId="0" borderId="0" xfId="5" applyFont="1">
      <alignment vertical="center"/>
    </xf>
    <xf numFmtId="0" fontId="29" fillId="15" borderId="0" xfId="5" applyFill="1">
      <alignment vertical="center"/>
    </xf>
    <xf numFmtId="0" fontId="23" fillId="13" borderId="3" xfId="3" applyFont="1" applyFill="1" applyBorder="1" applyAlignment="1">
      <alignment horizontal="center" vertical="center" wrapText="1"/>
    </xf>
    <xf numFmtId="0" fontId="23" fillId="13" borderId="4" xfId="3" applyFont="1" applyFill="1" applyBorder="1" applyAlignment="1">
      <alignment horizontal="center" vertical="center"/>
    </xf>
    <xf numFmtId="0" fontId="23" fillId="13" borderId="4" xfId="3" applyFont="1" applyFill="1" applyBorder="1" applyAlignment="1">
      <alignment horizontal="center" vertical="center" wrapText="1"/>
    </xf>
    <xf numFmtId="0" fontId="22" fillId="0" borderId="0" xfId="7" applyFont="1">
      <alignment vertical="center"/>
    </xf>
    <xf numFmtId="0" fontId="19" fillId="0" borderId="0" xfId="7" applyFont="1">
      <alignment vertical="center"/>
    </xf>
    <xf numFmtId="0" fontId="22" fillId="2" borderId="7" xfId="7" applyFont="1" applyFill="1" applyBorder="1">
      <alignment vertical="center"/>
    </xf>
    <xf numFmtId="0" fontId="22" fillId="2" borderId="24" xfId="7" applyFont="1" applyFill="1" applyBorder="1">
      <alignment vertical="center"/>
    </xf>
    <xf numFmtId="0" fontId="22" fillId="2" borderId="25" xfId="7" applyFont="1" applyFill="1" applyBorder="1">
      <alignment vertical="center"/>
    </xf>
    <xf numFmtId="0" fontId="22" fillId="2" borderId="8" xfId="7" applyFont="1" applyFill="1" applyBorder="1">
      <alignment vertical="center"/>
    </xf>
    <xf numFmtId="0" fontId="22" fillId="2" borderId="35" xfId="7" applyFont="1" applyFill="1" applyBorder="1">
      <alignment vertical="center"/>
    </xf>
    <xf numFmtId="0" fontId="22" fillId="2" borderId="36" xfId="7" applyFont="1" applyFill="1" applyBorder="1">
      <alignment vertical="center"/>
    </xf>
    <xf numFmtId="0" fontId="22" fillId="2" borderId="37" xfId="7" applyFont="1" applyFill="1" applyBorder="1">
      <alignment vertical="center"/>
    </xf>
    <xf numFmtId="0" fontId="22" fillId="2" borderId="7" xfId="7" applyFont="1" applyFill="1" applyBorder="1" applyAlignment="1">
      <alignment horizontal="center" vertical="center"/>
    </xf>
    <xf numFmtId="0" fontId="22" fillId="2" borderId="7" xfId="7" applyFont="1" applyFill="1" applyBorder="1" applyAlignment="1">
      <alignment horizontal="center" vertical="center" wrapText="1"/>
    </xf>
    <xf numFmtId="0" fontId="19" fillId="0" borderId="7" xfId="7" applyFont="1" applyBorder="1">
      <alignment vertical="center"/>
    </xf>
    <xf numFmtId="0" fontId="19" fillId="0" borderId="7" xfId="7" applyFont="1" applyBorder="1" applyAlignment="1">
      <alignment vertical="center" wrapText="1"/>
    </xf>
    <xf numFmtId="0" fontId="22" fillId="0" borderId="7" xfId="7" applyFont="1" applyBorder="1" applyAlignment="1">
      <alignment horizontal="center" vertical="center"/>
    </xf>
    <xf numFmtId="0" fontId="19" fillId="16" borderId="7" xfId="7" applyFont="1" applyFill="1" applyBorder="1" applyAlignment="1">
      <alignment horizontal="center" vertical="center"/>
    </xf>
    <xf numFmtId="0" fontId="19" fillId="0" borderId="17" xfId="7" applyFont="1" applyBorder="1">
      <alignment vertical="center"/>
    </xf>
    <xf numFmtId="0" fontId="31" fillId="5" borderId="15" xfId="0" applyFont="1" applyFill="1" applyBorder="1" applyAlignment="1">
      <alignment vertical="center" wrapText="1"/>
    </xf>
    <xf numFmtId="14" fontId="0" fillId="0" borderId="39" xfId="0" applyNumberFormat="1" applyBorder="1" applyAlignment="1">
      <alignment horizontal="center" vertical="center"/>
    </xf>
    <xf numFmtId="0" fontId="32" fillId="0" borderId="0" xfId="0" applyFont="1">
      <alignment vertical="center"/>
    </xf>
    <xf numFmtId="0" fontId="17" fillId="0" borderId="0" xfId="3" applyFont="1" applyAlignment="1">
      <alignment horizontal="left" vertical="center"/>
    </xf>
    <xf numFmtId="0" fontId="36" fillId="0" borderId="7" xfId="5" applyFont="1" applyBorder="1">
      <alignment vertical="center"/>
    </xf>
    <xf numFmtId="0" fontId="29" fillId="0" borderId="7" xfId="5" applyBorder="1">
      <alignment vertical="center"/>
    </xf>
    <xf numFmtId="0" fontId="19" fillId="0" borderId="2" xfId="0" applyFont="1" applyBorder="1" applyAlignment="1">
      <alignment horizontal="left" vertical="center"/>
    </xf>
    <xf numFmtId="0" fontId="17" fillId="0" borderId="2" xfId="0" applyFont="1" applyBorder="1" applyAlignment="1">
      <alignment horizontal="left" vertical="center" wrapText="1"/>
    </xf>
    <xf numFmtId="0" fontId="17" fillId="0" borderId="2" xfId="0" applyFont="1" applyBorder="1" applyAlignment="1">
      <alignment horizontal="left" vertical="center"/>
    </xf>
    <xf numFmtId="6" fontId="17" fillId="0" borderId="2" xfId="1" applyFont="1" applyBorder="1">
      <alignment vertical="center"/>
    </xf>
    <xf numFmtId="6" fontId="17" fillId="0" borderId="2" xfId="1" applyFont="1" applyBorder="1" applyAlignment="1">
      <alignment vertical="center" wrapText="1"/>
    </xf>
    <xf numFmtId="0" fontId="17" fillId="0" borderId="1" xfId="0" applyFont="1" applyBorder="1">
      <alignment vertical="center"/>
    </xf>
    <xf numFmtId="0" fontId="21" fillId="0" borderId="13" xfId="0" applyFont="1" applyBorder="1" applyAlignment="1">
      <alignment horizontal="center" vertical="center"/>
    </xf>
    <xf numFmtId="0" fontId="23" fillId="13" borderId="1" xfId="9" applyFont="1" applyFill="1" applyBorder="1" applyAlignment="1">
      <alignment horizontal="center" vertical="center" wrapText="1"/>
    </xf>
    <xf numFmtId="0" fontId="23" fillId="6" borderId="1" xfId="9" applyFont="1" applyFill="1" applyBorder="1" applyAlignment="1">
      <alignment horizontal="center" vertical="center" wrapText="1"/>
    </xf>
    <xf numFmtId="0" fontId="23" fillId="13" borderId="3" xfId="9" applyFont="1" applyFill="1" applyBorder="1" applyAlignment="1">
      <alignment horizontal="center" vertical="center" wrapText="1"/>
    </xf>
    <xf numFmtId="0" fontId="17" fillId="0" borderId="45" xfId="0" applyFont="1" applyBorder="1">
      <alignment vertical="center"/>
    </xf>
    <xf numFmtId="0" fontId="23" fillId="11" borderId="1" xfId="0" applyFont="1" applyFill="1" applyBorder="1">
      <alignment vertical="center"/>
    </xf>
    <xf numFmtId="0" fontId="17" fillId="11" borderId="1" xfId="0" applyFont="1" applyFill="1" applyBorder="1">
      <alignment vertical="center"/>
    </xf>
    <xf numFmtId="0" fontId="31" fillId="5" borderId="7" xfId="5" applyFont="1" applyFill="1" applyBorder="1">
      <alignment vertical="center"/>
    </xf>
    <xf numFmtId="0" fontId="17" fillId="0" borderId="7" xfId="7" applyFont="1" applyBorder="1">
      <alignment vertical="center"/>
    </xf>
    <xf numFmtId="0" fontId="23" fillId="11" borderId="7" xfId="7" applyFont="1" applyFill="1" applyBorder="1" applyAlignment="1">
      <alignment horizontal="center" vertical="center"/>
    </xf>
    <xf numFmtId="14" fontId="17" fillId="0" borderId="1" xfId="0" applyNumberFormat="1" applyFont="1" applyBorder="1" applyAlignment="1">
      <alignment horizontal="left" vertical="center"/>
    </xf>
    <xf numFmtId="10" fontId="17" fillId="0" borderId="0" xfId="0" applyNumberFormat="1" applyFont="1">
      <alignment vertical="center"/>
    </xf>
    <xf numFmtId="0" fontId="17" fillId="0" borderId="1" xfId="0" applyFont="1" applyBorder="1" applyAlignment="1">
      <alignment vertical="center" wrapText="1"/>
    </xf>
    <xf numFmtId="14" fontId="17" fillId="0" borderId="0" xfId="0" applyNumberFormat="1" applyFont="1" applyAlignment="1">
      <alignment horizontal="left" vertical="center"/>
    </xf>
    <xf numFmtId="0" fontId="41" fillId="0" borderId="0" xfId="0" applyFont="1">
      <alignment vertical="center"/>
    </xf>
    <xf numFmtId="0" fontId="23" fillId="13" borderId="47" xfId="9" applyFont="1" applyFill="1" applyBorder="1" applyAlignment="1">
      <alignment horizontal="center" vertical="center" wrapText="1"/>
    </xf>
    <xf numFmtId="0" fontId="23" fillId="13" borderId="47" xfId="3" applyFont="1" applyFill="1" applyBorder="1" applyAlignment="1">
      <alignment horizontal="center" vertical="center" wrapText="1"/>
    </xf>
    <xf numFmtId="0" fontId="17" fillId="0" borderId="0" xfId="16" applyFont="1">
      <alignment vertical="center"/>
    </xf>
    <xf numFmtId="0" fontId="21" fillId="0" borderId="0" xfId="16" applyFont="1">
      <alignment vertical="center"/>
    </xf>
    <xf numFmtId="0" fontId="32" fillId="0" borderId="0" xfId="16" applyFont="1">
      <alignment vertical="center"/>
    </xf>
    <xf numFmtId="0" fontId="19" fillId="0" borderId="0" xfId="17" applyFont="1">
      <alignment vertical="center"/>
    </xf>
    <xf numFmtId="0" fontId="17" fillId="0" borderId="2" xfId="16" applyFont="1" applyBorder="1">
      <alignment vertical="center"/>
    </xf>
    <xf numFmtId="0" fontId="17" fillId="0" borderId="5" xfId="16" applyFont="1" applyBorder="1">
      <alignment vertical="center"/>
    </xf>
    <xf numFmtId="0" fontId="17" fillId="0" borderId="34" xfId="16" applyFont="1" applyBorder="1">
      <alignment vertical="center"/>
    </xf>
    <xf numFmtId="0" fontId="17" fillId="0" borderId="6" xfId="16" applyFont="1" applyBorder="1">
      <alignment vertical="center"/>
    </xf>
    <xf numFmtId="0" fontId="17" fillId="0" borderId="2" xfId="16" applyFont="1" applyBorder="1" applyAlignment="1">
      <alignment horizontal="left" vertical="center"/>
    </xf>
    <xf numFmtId="0" fontId="31" fillId="5" borderId="0" xfId="0" applyFont="1" applyFill="1" applyAlignment="1">
      <alignment vertical="center" wrapText="1"/>
    </xf>
    <xf numFmtId="0" fontId="0" fillId="0" borderId="0" xfId="5" applyFont="1">
      <alignment vertical="center"/>
    </xf>
    <xf numFmtId="0" fontId="17" fillId="0" borderId="0" xfId="18" applyFont="1" applyAlignment="1">
      <alignment horizontal="left" vertical="center"/>
    </xf>
    <xf numFmtId="0" fontId="17" fillId="0" borderId="0" xfId="18" applyFont="1">
      <alignment vertical="center"/>
    </xf>
    <xf numFmtId="0" fontId="21" fillId="0" borderId="0" xfId="18" applyFont="1" applyAlignment="1">
      <alignment horizontal="left" vertical="center"/>
    </xf>
    <xf numFmtId="0" fontId="23" fillId="13" borderId="5" xfId="18" applyFont="1" applyFill="1" applyBorder="1" applyAlignment="1">
      <alignment horizontal="center" vertical="center" wrapText="1"/>
    </xf>
    <xf numFmtId="0" fontId="17" fillId="0" borderId="5" xfId="18" applyFont="1" applyBorder="1" applyAlignment="1" applyProtection="1">
      <alignment horizontal="center" vertical="center" wrapText="1"/>
      <protection locked="0"/>
    </xf>
    <xf numFmtId="0" fontId="17" fillId="0" borderId="5" xfId="18" applyFont="1" applyBorder="1" applyAlignment="1" applyProtection="1">
      <alignment horizontal="left" vertical="top" wrapText="1"/>
      <protection locked="0"/>
    </xf>
    <xf numFmtId="0" fontId="17" fillId="0" borderId="0" xfId="18" applyFont="1" applyAlignment="1">
      <alignment horizontal="center" vertical="center"/>
    </xf>
    <xf numFmtId="0" fontId="31" fillId="5" borderId="17" xfId="0" applyFont="1" applyFill="1" applyBorder="1" applyAlignment="1">
      <alignment vertical="center" wrapText="1"/>
    </xf>
    <xf numFmtId="0" fontId="17" fillId="0" borderId="50" xfId="0" applyFont="1" applyBorder="1" applyAlignment="1">
      <alignment horizontal="center" vertical="center"/>
    </xf>
    <xf numFmtId="0" fontId="17" fillId="0" borderId="50" xfId="0" applyFont="1" applyBorder="1" applyAlignment="1">
      <alignment vertical="top" wrapText="1"/>
    </xf>
    <xf numFmtId="6" fontId="17" fillId="0" borderId="2" xfId="19" applyFont="1" applyBorder="1" applyAlignment="1" applyProtection="1">
      <alignment vertical="center" wrapText="1"/>
      <protection locked="0"/>
    </xf>
    <xf numFmtId="6" fontId="17" fillId="0" borderId="2" xfId="19" applyFont="1" applyBorder="1">
      <alignment vertical="center"/>
    </xf>
    <xf numFmtId="6" fontId="17" fillId="0" borderId="2" xfId="19" applyFont="1" applyBorder="1" applyAlignment="1">
      <alignment horizontal="left" vertical="center"/>
    </xf>
    <xf numFmtId="0" fontId="22" fillId="2" borderId="24" xfId="7" applyFont="1" applyFill="1" applyBorder="1" applyAlignment="1">
      <alignment horizontal="left" vertical="center"/>
    </xf>
    <xf numFmtId="177" fontId="17" fillId="0" borderId="50" xfId="0" applyNumberFormat="1" applyFont="1" applyBorder="1">
      <alignment vertical="center"/>
    </xf>
    <xf numFmtId="6" fontId="17" fillId="0" borderId="5" xfId="19" applyFont="1" applyBorder="1" applyAlignment="1" applyProtection="1">
      <alignment horizontal="center" vertical="center" wrapText="1"/>
      <protection locked="0"/>
    </xf>
    <xf numFmtId="0" fontId="23" fillId="13" borderId="5" xfId="18" applyFont="1" applyFill="1" applyBorder="1" applyAlignment="1">
      <alignment horizontal="left" vertical="center" wrapText="1"/>
    </xf>
    <xf numFmtId="0" fontId="17" fillId="0" borderId="50" xfId="0" applyFont="1" applyBorder="1">
      <alignment vertical="center"/>
    </xf>
    <xf numFmtId="0" fontId="17" fillId="0" borderId="50" xfId="0" applyFont="1" applyBorder="1" applyAlignment="1">
      <alignment horizontal="right" vertical="center"/>
    </xf>
    <xf numFmtId="0" fontId="17" fillId="0" borderId="5" xfId="0" applyFont="1" applyBorder="1" applyAlignment="1">
      <alignment horizontal="center" vertical="center"/>
    </xf>
    <xf numFmtId="6" fontId="17" fillId="0" borderId="5" xfId="1" applyFont="1" applyBorder="1" applyAlignment="1" applyProtection="1">
      <alignment horizontal="center" vertical="center" wrapText="1"/>
      <protection locked="0"/>
    </xf>
    <xf numFmtId="6" fontId="17" fillId="0" borderId="50" xfId="1" applyFont="1" applyBorder="1" applyAlignment="1">
      <alignment horizontal="center" vertical="center"/>
    </xf>
    <xf numFmtId="0" fontId="17" fillId="17" borderId="2" xfId="0" applyFont="1" applyFill="1" applyBorder="1" applyAlignment="1">
      <alignment horizontal="center" vertical="center"/>
    </xf>
    <xf numFmtId="0" fontId="17" fillId="10" borderId="50" xfId="0" applyFont="1" applyFill="1" applyBorder="1" applyAlignment="1">
      <alignment horizontal="center" vertical="center"/>
    </xf>
    <xf numFmtId="0" fontId="19" fillId="8" borderId="22" xfId="0" applyFont="1" applyFill="1" applyBorder="1">
      <alignment vertical="center"/>
    </xf>
    <xf numFmtId="0" fontId="26" fillId="8" borderId="9" xfId="0" applyFont="1" applyFill="1" applyBorder="1">
      <alignment vertical="center"/>
    </xf>
    <xf numFmtId="0" fontId="19" fillId="8" borderId="0" xfId="0" applyFont="1" applyFill="1">
      <alignment vertical="center"/>
    </xf>
    <xf numFmtId="6" fontId="17" fillId="0" borderId="2" xfId="19" applyFont="1" applyBorder="1" applyAlignment="1">
      <alignment horizontal="center" vertical="center"/>
    </xf>
    <xf numFmtId="0" fontId="17" fillId="0" borderId="0" xfId="22" applyFont="1">
      <alignment vertical="center"/>
    </xf>
    <xf numFmtId="0" fontId="17" fillId="0" borderId="0" xfId="22" applyFont="1" applyAlignment="1">
      <alignment horizontal="center" vertical="center"/>
    </xf>
    <xf numFmtId="0" fontId="21" fillId="0" borderId="0" xfId="21" applyFont="1" applyAlignment="1">
      <alignment horizontal="left" vertical="center"/>
    </xf>
    <xf numFmtId="0" fontId="17" fillId="0" borderId="0" xfId="22" applyFont="1" applyAlignment="1">
      <alignment horizontal="right" vertical="center"/>
    </xf>
    <xf numFmtId="0" fontId="17" fillId="0" borderId="46" xfId="22" applyFont="1" applyBorder="1">
      <alignment vertical="center"/>
    </xf>
    <xf numFmtId="0" fontId="22" fillId="0" borderId="0" xfId="22" applyFont="1" applyAlignment="1">
      <alignment horizontal="left" vertical="center"/>
    </xf>
    <xf numFmtId="0" fontId="19" fillId="0" borderId="0" xfId="22" applyFont="1" applyAlignment="1">
      <alignment horizontal="left" vertical="center"/>
    </xf>
    <xf numFmtId="0" fontId="22" fillId="0" borderId="0" xfId="22" applyFont="1" applyAlignment="1">
      <alignment horizontal="center" vertical="center"/>
    </xf>
    <xf numFmtId="0" fontId="21" fillId="0" borderId="0" xfId="22" applyFont="1" applyAlignment="1">
      <alignment horizontal="center" vertical="center"/>
    </xf>
    <xf numFmtId="0" fontId="23" fillId="13" borderId="2" xfId="21" applyFont="1" applyFill="1" applyBorder="1" applyAlignment="1">
      <alignment horizontal="left" vertical="center"/>
    </xf>
    <xf numFmtId="0" fontId="37" fillId="3" borderId="2" xfId="21" applyFont="1" applyFill="1" applyBorder="1" applyAlignment="1">
      <alignment horizontal="center" vertical="center"/>
    </xf>
    <xf numFmtId="0" fontId="23" fillId="13" borderId="2" xfId="21" applyFont="1" applyFill="1" applyBorder="1" applyAlignment="1">
      <alignment horizontal="center" vertical="center"/>
    </xf>
    <xf numFmtId="0" fontId="23" fillId="13" borderId="1" xfId="21" applyFont="1" applyFill="1" applyBorder="1" applyAlignment="1">
      <alignment horizontal="center" vertical="center"/>
    </xf>
    <xf numFmtId="0" fontId="19" fillId="4" borderId="2" xfId="21" applyFont="1" applyFill="1" applyBorder="1" applyAlignment="1">
      <alignment horizontal="left" vertical="center"/>
    </xf>
    <xf numFmtId="176" fontId="19" fillId="10" borderId="2" xfId="22" applyNumberFormat="1" applyFont="1" applyFill="1" applyBorder="1" applyAlignment="1">
      <alignment horizontal="center" vertical="center"/>
    </xf>
    <xf numFmtId="0" fontId="17" fillId="0" borderId="2" xfId="22" applyFont="1" applyBorder="1" applyAlignment="1">
      <alignment horizontal="center" vertical="center"/>
    </xf>
    <xf numFmtId="0" fontId="17" fillId="10" borderId="2" xfId="22" applyFont="1" applyFill="1" applyBorder="1" applyAlignment="1">
      <alignment horizontal="left" vertical="center"/>
    </xf>
    <xf numFmtId="0" fontId="17" fillId="10" borderId="2" xfId="22" applyFont="1" applyFill="1" applyBorder="1" applyAlignment="1">
      <alignment horizontal="center" vertical="center"/>
    </xf>
    <xf numFmtId="0" fontId="17" fillId="10" borderId="1" xfId="22" applyFont="1" applyFill="1" applyBorder="1" applyAlignment="1">
      <alignment horizontal="center" vertical="center"/>
    </xf>
    <xf numFmtId="0" fontId="17" fillId="0" borderId="1" xfId="22" applyFont="1" applyBorder="1" applyAlignment="1">
      <alignment horizontal="center" vertical="center"/>
    </xf>
    <xf numFmtId="0" fontId="17" fillId="10" borderId="1" xfId="22" applyFont="1" applyFill="1" applyBorder="1" applyAlignment="1">
      <alignment horizontal="left" vertical="center"/>
    </xf>
    <xf numFmtId="0" fontId="17" fillId="0" borderId="0" xfId="22" applyFont="1" applyAlignment="1">
      <alignment horizontal="left" vertical="center"/>
    </xf>
    <xf numFmtId="0" fontId="23" fillId="13" borderId="2" xfId="22" applyFont="1" applyFill="1" applyBorder="1" applyAlignment="1">
      <alignment horizontal="left" vertical="center"/>
    </xf>
    <xf numFmtId="0" fontId="19" fillId="0" borderId="2" xfId="22" applyFont="1" applyBorder="1" applyAlignment="1">
      <alignment horizontal="left" vertical="center"/>
    </xf>
    <xf numFmtId="0" fontId="19" fillId="10" borderId="2" xfId="22" applyFont="1" applyFill="1" applyBorder="1" applyAlignment="1">
      <alignment horizontal="center" vertical="center"/>
    </xf>
    <xf numFmtId="0" fontId="19" fillId="0" borderId="0" xfId="22" applyFont="1">
      <alignment vertical="center"/>
    </xf>
    <xf numFmtId="0" fontId="28" fillId="0" borderId="0" xfId="22" applyFont="1">
      <alignment vertical="center"/>
    </xf>
    <xf numFmtId="0" fontId="23" fillId="13" borderId="3" xfId="21" applyFont="1" applyFill="1" applyBorder="1" applyAlignment="1">
      <alignment horizontal="center" vertical="center" wrapText="1"/>
    </xf>
    <xf numFmtId="0" fontId="23" fillId="13" borderId="4" xfId="21" applyFont="1" applyFill="1" applyBorder="1" applyAlignment="1">
      <alignment horizontal="center" vertical="center"/>
    </xf>
    <xf numFmtId="0" fontId="23" fillId="13" borderId="4" xfId="21" applyFont="1" applyFill="1" applyBorder="1" applyAlignment="1">
      <alignment horizontal="center" vertical="center" wrapText="1"/>
    </xf>
    <xf numFmtId="0" fontId="23" fillId="14" borderId="4" xfId="21" applyFont="1" applyFill="1" applyBorder="1" applyAlignment="1">
      <alignment horizontal="center" vertical="center" wrapText="1"/>
    </xf>
    <xf numFmtId="0" fontId="17" fillId="0" borderId="2" xfId="22" applyFont="1" applyBorder="1" applyAlignment="1">
      <alignment horizontal="left" vertical="center"/>
    </xf>
    <xf numFmtId="0" fontId="17" fillId="0" borderId="5" xfId="23" applyFont="1" applyBorder="1" applyAlignment="1" applyProtection="1">
      <alignment horizontal="left" vertical="center" wrapText="1"/>
      <protection locked="0"/>
    </xf>
    <xf numFmtId="0" fontId="17" fillId="4" borderId="2" xfId="22" applyFont="1" applyFill="1" applyBorder="1" applyAlignment="1">
      <alignment horizontal="left" vertical="center"/>
    </xf>
    <xf numFmtId="0" fontId="0" fillId="12" borderId="7" xfId="0" applyFill="1" applyBorder="1" applyAlignment="1">
      <alignment vertical="center" wrapText="1"/>
    </xf>
    <xf numFmtId="0" fontId="0" fillId="12" borderId="7" xfId="0" applyFill="1" applyBorder="1">
      <alignment vertical="center"/>
    </xf>
    <xf numFmtId="0" fontId="0" fillId="12" borderId="7" xfId="0" applyFill="1" applyBorder="1" applyAlignment="1">
      <alignment horizontal="left" vertical="center"/>
    </xf>
    <xf numFmtId="0" fontId="17" fillId="0" borderId="5" xfId="8" applyNumberFormat="1" applyFont="1" applyBorder="1" applyAlignment="1" applyProtection="1">
      <alignment horizontal="center" vertical="center" wrapText="1"/>
      <protection locked="0"/>
    </xf>
    <xf numFmtId="0" fontId="22" fillId="2" borderId="7" xfId="21" applyFont="1" applyFill="1" applyBorder="1" applyAlignment="1">
      <alignment horizontal="center" vertical="center" wrapText="1"/>
    </xf>
    <xf numFmtId="0" fontId="22" fillId="16" borderId="7" xfId="21" applyFont="1" applyFill="1" applyBorder="1" applyAlignment="1">
      <alignment horizontal="center" vertical="center"/>
    </xf>
    <xf numFmtId="0" fontId="44" fillId="0" borderId="0" xfId="24" applyFont="1">
      <alignment vertical="center"/>
    </xf>
    <xf numFmtId="0" fontId="6" fillId="0" borderId="0" xfId="24">
      <alignment vertical="center"/>
    </xf>
    <xf numFmtId="0" fontId="44" fillId="0" borderId="0" xfId="24" applyFont="1" applyAlignment="1">
      <alignment horizontal="center" vertical="center"/>
    </xf>
    <xf numFmtId="0" fontId="45" fillId="0" borderId="0" xfId="24" applyFont="1" applyAlignment="1">
      <alignment horizontal="center" vertical="center"/>
    </xf>
    <xf numFmtId="0" fontId="45" fillId="7" borderId="54" xfId="24" applyFont="1" applyFill="1" applyBorder="1" applyAlignment="1">
      <alignment horizontal="center" vertical="center"/>
    </xf>
    <xf numFmtId="0" fontId="45" fillId="7" borderId="55" xfId="24" applyFont="1" applyFill="1" applyBorder="1" applyAlignment="1">
      <alignment horizontal="center" vertical="center"/>
    </xf>
    <xf numFmtId="0" fontId="45" fillId="7" borderId="54" xfId="24" applyFont="1" applyFill="1" applyBorder="1" applyAlignment="1">
      <alignment horizontal="center" vertical="center" wrapText="1"/>
    </xf>
    <xf numFmtId="0" fontId="45" fillId="7" borderId="56" xfId="24" applyFont="1" applyFill="1" applyBorder="1" applyAlignment="1">
      <alignment horizontal="center" vertical="center"/>
    </xf>
    <xf numFmtId="0" fontId="46" fillId="7" borderId="54" xfId="24" applyFont="1" applyFill="1" applyBorder="1" applyAlignment="1">
      <alignment horizontal="center" vertical="center"/>
    </xf>
    <xf numFmtId="0" fontId="45" fillId="7" borderId="57" xfId="24" applyFont="1" applyFill="1" applyBorder="1" applyAlignment="1">
      <alignment horizontal="center" vertical="center"/>
    </xf>
    <xf numFmtId="0" fontId="45" fillId="7" borderId="57" xfId="24" applyFont="1" applyFill="1" applyBorder="1" applyAlignment="1">
      <alignment horizontal="center" vertical="center" wrapText="1"/>
    </xf>
    <xf numFmtId="0" fontId="46" fillId="11" borderId="19" xfId="24" applyFont="1" applyFill="1" applyBorder="1" applyAlignment="1">
      <alignment horizontal="center" vertical="center"/>
    </xf>
    <xf numFmtId="0" fontId="44" fillId="0" borderId="58" xfId="24" applyFont="1" applyBorder="1">
      <alignment vertical="center"/>
    </xf>
    <xf numFmtId="0" fontId="44" fillId="0" borderId="59" xfId="24" applyFont="1" applyBorder="1">
      <alignment vertical="center"/>
    </xf>
    <xf numFmtId="0" fontId="44" fillId="0" borderId="59" xfId="24" applyFont="1" applyBorder="1" applyAlignment="1">
      <alignment horizontal="center" vertical="center"/>
    </xf>
    <xf numFmtId="0" fontId="44" fillId="0" borderId="60" xfId="24" applyFont="1" applyBorder="1">
      <alignment vertical="center"/>
    </xf>
    <xf numFmtId="0" fontId="44" fillId="0" borderId="61" xfId="24" applyFont="1" applyBorder="1">
      <alignment vertical="center"/>
    </xf>
    <xf numFmtId="0" fontId="44" fillId="0" borderId="19" xfId="24" applyFont="1" applyBorder="1">
      <alignment vertical="center"/>
    </xf>
    <xf numFmtId="0" fontId="44" fillId="0" borderId="19" xfId="24" applyFont="1" applyBorder="1" applyAlignment="1">
      <alignment horizontal="center" vertical="center"/>
    </xf>
    <xf numFmtId="0" fontId="44" fillId="0" borderId="21" xfId="24" applyFont="1" applyBorder="1">
      <alignment vertical="center"/>
    </xf>
    <xf numFmtId="0" fontId="44" fillId="0" borderId="62" xfId="24" applyFont="1" applyBorder="1">
      <alignment vertical="center"/>
    </xf>
    <xf numFmtId="0" fontId="46" fillId="11" borderId="7" xfId="24" applyFont="1" applyFill="1" applyBorder="1" applyAlignment="1">
      <alignment horizontal="center" vertical="center"/>
    </xf>
    <xf numFmtId="0" fontId="44" fillId="0" borderId="63" xfId="24" applyFont="1" applyBorder="1">
      <alignment vertical="center"/>
    </xf>
    <xf numFmtId="0" fontId="44" fillId="0" borderId="7" xfId="24" applyFont="1" applyBorder="1">
      <alignment vertical="center"/>
    </xf>
    <xf numFmtId="0" fontId="44" fillId="0" borderId="7" xfId="24" applyFont="1" applyBorder="1" applyAlignment="1">
      <alignment horizontal="center" vertical="center"/>
    </xf>
    <xf numFmtId="0" fontId="44" fillId="0" borderId="64" xfId="24" applyFont="1" applyBorder="1">
      <alignment vertical="center"/>
    </xf>
    <xf numFmtId="0" fontId="44" fillId="0" borderId="24" xfId="24" applyFont="1" applyBorder="1">
      <alignment vertical="center"/>
    </xf>
    <xf numFmtId="0" fontId="44" fillId="0" borderId="24" xfId="24" applyFont="1" applyBorder="1" applyAlignment="1">
      <alignment vertical="center" wrapText="1"/>
    </xf>
    <xf numFmtId="0" fontId="44" fillId="0" borderId="64" xfId="24" applyFont="1" applyBorder="1" applyAlignment="1">
      <alignment vertical="center" wrapText="1"/>
    </xf>
    <xf numFmtId="0" fontId="48" fillId="0" borderId="7" xfId="24" applyFont="1" applyBorder="1" applyAlignment="1">
      <alignment horizontal="center" vertical="center"/>
    </xf>
    <xf numFmtId="0" fontId="48" fillId="0" borderId="7" xfId="24" applyFont="1" applyBorder="1" applyAlignment="1">
      <alignment horizontal="center" vertical="center" wrapText="1"/>
    </xf>
    <xf numFmtId="0" fontId="52" fillId="0" borderId="0" xfId="24" applyFont="1" applyAlignment="1">
      <alignment horizontal="center" vertical="center"/>
    </xf>
    <xf numFmtId="0" fontId="49" fillId="0" borderId="24" xfId="24" applyFont="1" applyBorder="1" applyAlignment="1">
      <alignment vertical="center" wrapText="1"/>
    </xf>
    <xf numFmtId="0" fontId="44" fillId="0" borderId="7" xfId="24" applyFont="1" applyBorder="1" applyAlignment="1">
      <alignment horizontal="center" vertical="center" wrapText="1"/>
    </xf>
    <xf numFmtId="0" fontId="48" fillId="0" borderId="7" xfId="24" applyFont="1" applyBorder="1" applyAlignment="1">
      <alignment vertical="center" wrapText="1"/>
    </xf>
    <xf numFmtId="20" fontId="44" fillId="0" borderId="63" xfId="24" applyNumberFormat="1" applyFont="1" applyBorder="1">
      <alignment vertical="center"/>
    </xf>
    <xf numFmtId="0" fontId="44" fillId="0" borderId="7" xfId="24" applyFont="1" applyBorder="1" applyAlignment="1">
      <alignment vertical="center" wrapText="1"/>
    </xf>
    <xf numFmtId="0" fontId="49" fillId="0" borderId="25" xfId="24" applyFont="1" applyBorder="1" applyAlignment="1">
      <alignment vertical="center" wrapText="1"/>
    </xf>
    <xf numFmtId="0" fontId="44" fillId="0" borderId="65" xfId="24" applyFont="1" applyBorder="1" applyAlignment="1">
      <alignment vertical="center" wrapText="1"/>
    </xf>
    <xf numFmtId="0" fontId="48" fillId="0" borderId="24" xfId="24" applyFont="1" applyBorder="1" applyAlignment="1">
      <alignment vertical="center" wrapText="1"/>
    </xf>
    <xf numFmtId="0" fontId="48" fillId="0" borderId="24" xfId="24" applyFont="1" applyBorder="1">
      <alignment vertical="center"/>
    </xf>
    <xf numFmtId="0" fontId="44" fillId="0" borderId="66" xfId="24" applyFont="1" applyBorder="1">
      <alignment vertical="center"/>
    </xf>
    <xf numFmtId="0" fontId="44" fillId="0" borderId="13" xfId="24" applyFont="1" applyBorder="1" applyAlignment="1">
      <alignment vertical="center" wrapText="1"/>
    </xf>
    <xf numFmtId="0" fontId="44" fillId="0" borderId="13" xfId="24" applyFont="1" applyBorder="1" applyAlignment="1">
      <alignment horizontal="center" vertical="center"/>
    </xf>
    <xf numFmtId="0" fontId="44" fillId="0" borderId="13" xfId="24" applyFont="1" applyBorder="1">
      <alignment vertical="center"/>
    </xf>
    <xf numFmtId="0" fontId="44" fillId="0" borderId="67" xfId="24" applyFont="1" applyBorder="1" applyAlignment="1">
      <alignment vertical="center" wrapText="1"/>
    </xf>
    <xf numFmtId="0" fontId="44" fillId="0" borderId="10" xfId="24" applyFont="1" applyBorder="1">
      <alignment vertical="center"/>
    </xf>
    <xf numFmtId="0" fontId="44" fillId="0" borderId="67" xfId="24" applyFont="1" applyBorder="1">
      <alignment vertical="center"/>
    </xf>
    <xf numFmtId="0" fontId="44" fillId="0" borderId="10" xfId="24" applyFont="1" applyBorder="1" applyAlignment="1">
      <alignment vertical="center" wrapText="1"/>
    </xf>
    <xf numFmtId="0" fontId="49" fillId="0" borderId="7" xfId="24" applyFont="1" applyBorder="1" applyAlignment="1">
      <alignment horizontal="center" vertical="center"/>
    </xf>
    <xf numFmtId="0" fontId="44" fillId="12" borderId="66" xfId="24" applyFont="1" applyFill="1" applyBorder="1">
      <alignment vertical="center"/>
    </xf>
    <xf numFmtId="0" fontId="44" fillId="12" borderId="13" xfId="24" applyFont="1" applyFill="1" applyBorder="1">
      <alignment vertical="center"/>
    </xf>
    <xf numFmtId="0" fontId="44" fillId="12" borderId="13" xfId="24" applyFont="1" applyFill="1" applyBorder="1" applyAlignment="1">
      <alignment horizontal="center" vertical="center"/>
    </xf>
    <xf numFmtId="0" fontId="44" fillId="12" borderId="7" xfId="24" applyFont="1" applyFill="1" applyBorder="1" applyAlignment="1">
      <alignment horizontal="center" vertical="center"/>
    </xf>
    <xf numFmtId="0" fontId="44" fillId="12" borderId="67" xfId="24" applyFont="1" applyFill="1" applyBorder="1" applyAlignment="1">
      <alignment vertical="center" wrapText="1"/>
    </xf>
    <xf numFmtId="0" fontId="44" fillId="12" borderId="7" xfId="24" applyFont="1" applyFill="1" applyBorder="1" applyAlignment="1">
      <alignment vertical="center" wrapText="1"/>
    </xf>
    <xf numFmtId="0" fontId="44" fillId="12" borderId="7" xfId="24" applyFont="1" applyFill="1" applyBorder="1">
      <alignment vertical="center"/>
    </xf>
    <xf numFmtId="0" fontId="44" fillId="12" borderId="10" xfId="24" applyFont="1" applyFill="1" applyBorder="1">
      <alignment vertical="center"/>
    </xf>
    <xf numFmtId="0" fontId="44" fillId="12" borderId="67" xfId="24" applyFont="1" applyFill="1" applyBorder="1">
      <alignment vertical="center"/>
    </xf>
    <xf numFmtId="0" fontId="44" fillId="12" borderId="10" xfId="24" applyFont="1" applyFill="1" applyBorder="1" applyAlignment="1">
      <alignment vertical="center" wrapText="1"/>
    </xf>
    <xf numFmtId="0" fontId="44" fillId="0" borderId="68" xfId="24" applyFont="1" applyBorder="1">
      <alignment vertical="center"/>
    </xf>
    <xf numFmtId="0" fontId="44" fillId="0" borderId="69" xfId="24" applyFont="1" applyBorder="1">
      <alignment vertical="center"/>
    </xf>
    <xf numFmtId="0" fontId="44" fillId="0" borderId="69" xfId="24" applyFont="1" applyBorder="1" applyAlignment="1">
      <alignment horizontal="center" vertical="center"/>
    </xf>
    <xf numFmtId="0" fontId="44" fillId="0" borderId="70" xfId="24" applyFont="1" applyBorder="1">
      <alignment vertical="center"/>
    </xf>
    <xf numFmtId="0" fontId="44" fillId="0" borderId="71" xfId="24" applyFont="1" applyBorder="1">
      <alignment vertical="center"/>
    </xf>
    <xf numFmtId="0" fontId="0" fillId="16" borderId="72" xfId="0" applyFill="1" applyBorder="1" applyAlignment="1">
      <alignment horizontal="center" vertical="center"/>
    </xf>
    <xf numFmtId="0" fontId="0" fillId="16" borderId="73" xfId="0" applyFill="1" applyBorder="1" applyAlignment="1">
      <alignment horizontal="center" vertical="center"/>
    </xf>
    <xf numFmtId="0" fontId="0" fillId="16" borderId="74" xfId="0" applyFill="1" applyBorder="1" applyAlignment="1">
      <alignment horizontal="center" vertical="center"/>
    </xf>
    <xf numFmtId="0" fontId="0" fillId="0" borderId="75" xfId="0" applyBorder="1">
      <alignment vertical="center"/>
    </xf>
    <xf numFmtId="0" fontId="0" fillId="0" borderId="76" xfId="0" applyBorder="1">
      <alignment vertical="center"/>
    </xf>
    <xf numFmtId="0" fontId="0" fillId="0" borderId="77" xfId="0" applyBorder="1">
      <alignment vertical="center"/>
    </xf>
    <xf numFmtId="0" fontId="0" fillId="0" borderId="78" xfId="0" applyBorder="1">
      <alignment vertical="center"/>
    </xf>
    <xf numFmtId="0" fontId="0" fillId="0" borderId="79" xfId="0" applyBorder="1">
      <alignment vertical="center"/>
    </xf>
    <xf numFmtId="0" fontId="0" fillId="0" borderId="80" xfId="0" applyBorder="1">
      <alignment vertical="center"/>
    </xf>
    <xf numFmtId="0" fontId="56" fillId="0" borderId="0" xfId="0" applyFont="1">
      <alignment vertical="center"/>
    </xf>
    <xf numFmtId="0" fontId="57" fillId="0" borderId="0" xfId="0" applyFont="1">
      <alignment vertical="center"/>
    </xf>
    <xf numFmtId="0" fontId="56" fillId="18" borderId="54" xfId="0" applyFont="1" applyFill="1" applyBorder="1" applyAlignment="1">
      <alignment horizontal="center" vertical="center"/>
    </xf>
    <xf numFmtId="0" fontId="56" fillId="0" borderId="81" xfId="0" applyFont="1" applyBorder="1">
      <alignment vertical="center"/>
    </xf>
    <xf numFmtId="0" fontId="56" fillId="0" borderId="81" xfId="0" applyFont="1" applyBorder="1" applyAlignment="1">
      <alignment horizontal="center" vertical="center"/>
    </xf>
    <xf numFmtId="0" fontId="56" fillId="0" borderId="82" xfId="0" applyFont="1" applyBorder="1">
      <alignment vertical="center"/>
    </xf>
    <xf numFmtId="0" fontId="56" fillId="0" borderId="82" xfId="0" applyFont="1" applyBorder="1" applyAlignment="1">
      <alignment horizontal="center" vertical="center"/>
    </xf>
    <xf numFmtId="0" fontId="56" fillId="19" borderId="82" xfId="0" applyFont="1" applyFill="1" applyBorder="1" applyAlignment="1">
      <alignment vertical="center" wrapText="1"/>
    </xf>
    <xf numFmtId="0" fontId="56" fillId="0" borderId="83" xfId="0" applyFont="1" applyBorder="1">
      <alignment vertical="center"/>
    </xf>
    <xf numFmtId="0" fontId="56" fillId="0" borderId="83" xfId="0" applyFont="1" applyBorder="1" applyAlignment="1">
      <alignment horizontal="center" vertical="center"/>
    </xf>
    <xf numFmtId="0" fontId="0" fillId="20" borderId="7" xfId="0" applyFill="1" applyBorder="1">
      <alignment vertical="center"/>
    </xf>
    <xf numFmtId="0" fontId="21" fillId="12" borderId="0" xfId="0" applyFont="1" applyFill="1" applyAlignment="1">
      <alignment horizontal="center" vertical="center"/>
    </xf>
    <xf numFmtId="0" fontId="23" fillId="13" borderId="2" xfId="15" applyFont="1" applyFill="1" applyBorder="1" applyAlignment="1">
      <alignment horizontal="center" vertical="center" wrapText="1"/>
    </xf>
    <xf numFmtId="0" fontId="17" fillId="0" borderId="2" xfId="0" applyFont="1" applyBorder="1" applyAlignment="1">
      <alignment horizontal="center" vertical="center"/>
    </xf>
    <xf numFmtId="0" fontId="17" fillId="0" borderId="13" xfId="0" applyFont="1" applyBorder="1" applyAlignment="1">
      <alignment horizontal="center" vertical="center"/>
    </xf>
    <xf numFmtId="0" fontId="17" fillId="0" borderId="13" xfId="0" applyFont="1" applyBorder="1" applyAlignment="1">
      <alignment horizontal="centerContinuous" vertical="center"/>
    </xf>
    <xf numFmtId="0" fontId="23" fillId="13" borderId="87" xfId="21" applyFont="1" applyFill="1" applyBorder="1" applyAlignment="1">
      <alignment horizontal="center" vertical="center" wrapText="1"/>
    </xf>
    <xf numFmtId="0" fontId="23" fillId="13" borderId="88" xfId="21" applyFont="1" applyFill="1" applyBorder="1" applyAlignment="1">
      <alignment horizontal="center" vertical="center" wrapText="1"/>
    </xf>
    <xf numFmtId="0" fontId="23" fillId="13" borderId="2" xfId="21" applyFont="1" applyFill="1" applyBorder="1" applyAlignment="1">
      <alignment horizontal="center" vertical="center" wrapText="1"/>
    </xf>
    <xf numFmtId="0" fontId="17" fillId="0" borderId="2" xfId="13" applyNumberFormat="1" applyFont="1" applyBorder="1" applyAlignment="1">
      <alignment horizontal="left" vertical="center" wrapText="1"/>
    </xf>
    <xf numFmtId="9" fontId="17" fillId="0" borderId="45" xfId="0" applyNumberFormat="1" applyFont="1" applyBorder="1">
      <alignment vertical="center"/>
    </xf>
    <xf numFmtId="0" fontId="56" fillId="0" borderId="82" xfId="0" applyFont="1" applyBorder="1" applyAlignment="1">
      <alignment vertical="center" wrapText="1"/>
    </xf>
    <xf numFmtId="0" fontId="56" fillId="0" borderId="89" xfId="0" applyFont="1" applyBorder="1">
      <alignment vertical="center"/>
    </xf>
    <xf numFmtId="178" fontId="17" fillId="0" borderId="5" xfId="18" applyNumberFormat="1" applyFont="1" applyBorder="1" applyAlignment="1" applyProtection="1">
      <alignment horizontal="center" vertical="center" wrapText="1"/>
      <protection locked="0"/>
    </xf>
    <xf numFmtId="0" fontId="17" fillId="0" borderId="2" xfId="8" applyNumberFormat="1" applyFont="1" applyBorder="1">
      <alignment vertical="center"/>
    </xf>
    <xf numFmtId="20" fontId="17" fillId="0" borderId="2" xfId="0" applyNumberFormat="1" applyFont="1" applyBorder="1" applyAlignment="1">
      <alignment vertical="center" wrapText="1"/>
    </xf>
    <xf numFmtId="0" fontId="19" fillId="0" borderId="1" xfId="0" applyFont="1" applyBorder="1">
      <alignment vertical="center"/>
    </xf>
    <xf numFmtId="0" fontId="17" fillId="0" borderId="2" xfId="8" applyNumberFormat="1" applyFont="1" applyBorder="1" applyAlignment="1">
      <alignment vertical="center" wrapText="1"/>
    </xf>
    <xf numFmtId="178" fontId="17" fillId="0" borderId="45" xfId="0" applyNumberFormat="1" applyFont="1" applyBorder="1">
      <alignment vertical="center"/>
    </xf>
    <xf numFmtId="178" fontId="17" fillId="0" borderId="1" xfId="0" applyNumberFormat="1" applyFont="1" applyBorder="1">
      <alignment vertical="center"/>
    </xf>
    <xf numFmtId="0" fontId="29" fillId="21" borderId="1" xfId="25" applyFont="1" applyFill="1" applyBorder="1" applyAlignment="1">
      <alignment vertical="center"/>
    </xf>
    <xf numFmtId="0" fontId="29" fillId="21" borderId="7" xfId="25" applyFont="1" applyFill="1" applyBorder="1" applyAlignment="1">
      <alignment horizontal="center" vertical="center" wrapText="1"/>
    </xf>
    <xf numFmtId="0" fontId="29" fillId="0" borderId="0" xfId="25" applyFont="1"/>
    <xf numFmtId="0" fontId="29" fillId="0" borderId="7" xfId="25" applyFont="1" applyBorder="1" applyAlignment="1">
      <alignment vertical="center"/>
    </xf>
    <xf numFmtId="0" fontId="29" fillId="22" borderId="7" xfId="25" applyFont="1" applyFill="1" applyBorder="1" applyAlignment="1">
      <alignment horizontal="center" vertical="center"/>
    </xf>
    <xf numFmtId="0" fontId="29" fillId="0" borderId="7" xfId="25" applyFont="1" applyBorder="1"/>
    <xf numFmtId="0" fontId="5" fillId="0" borderId="0" xfId="26">
      <alignment vertical="center"/>
    </xf>
    <xf numFmtId="0" fontId="62" fillId="23" borderId="0" xfId="25" applyFont="1" applyFill="1" applyAlignment="1">
      <alignment horizontal="center" vertical="center"/>
    </xf>
    <xf numFmtId="179" fontId="29" fillId="23" borderId="0" xfId="25" applyNumberFormat="1" applyFont="1" applyFill="1" applyAlignment="1">
      <alignment horizontal="center" vertical="center"/>
    </xf>
    <xf numFmtId="0" fontId="44" fillId="0" borderId="0" xfId="25" applyFont="1"/>
    <xf numFmtId="0" fontId="29" fillId="12" borderId="7" xfId="25" applyFont="1" applyFill="1" applyBorder="1" applyAlignment="1">
      <alignment vertical="center"/>
    </xf>
    <xf numFmtId="0" fontId="29" fillId="24" borderId="7" xfId="25" applyFont="1" applyFill="1" applyBorder="1"/>
    <xf numFmtId="0" fontId="29" fillId="24" borderId="7" xfId="25" applyFont="1" applyFill="1" applyBorder="1" applyAlignment="1">
      <alignment vertical="center"/>
    </xf>
    <xf numFmtId="0" fontId="29" fillId="0" borderId="7" xfId="25" applyFont="1" applyBorder="1" applyAlignment="1">
      <alignment horizontal="left" vertical="center"/>
    </xf>
    <xf numFmtId="0" fontId="67" fillId="19" borderId="0" xfId="29" applyFont="1" applyFill="1">
      <alignment vertical="center"/>
    </xf>
    <xf numFmtId="14" fontId="73" fillId="19" borderId="7" xfId="27" applyNumberFormat="1" applyFont="1" applyFill="1" applyBorder="1">
      <alignment vertical="center"/>
    </xf>
    <xf numFmtId="0" fontId="0" fillId="0" borderId="7" xfId="25" applyFont="1" applyBorder="1" applyAlignment="1">
      <alignment horizontal="center" vertical="center"/>
    </xf>
    <xf numFmtId="0" fontId="0" fillId="0" borderId="7" xfId="25" applyFont="1" applyBorder="1" applyAlignment="1">
      <alignment horizontal="left"/>
    </xf>
    <xf numFmtId="0" fontId="29" fillId="0" borderId="7" xfId="25" applyFont="1" applyBorder="1" applyAlignment="1">
      <alignment horizontal="left"/>
    </xf>
    <xf numFmtId="0" fontId="29" fillId="0" borderId="7" xfId="25" applyFont="1" applyBorder="1" applyAlignment="1">
      <alignment horizontal="left" wrapText="1"/>
    </xf>
    <xf numFmtId="0" fontId="0" fillId="0" borderId="0" xfId="25" applyFont="1"/>
    <xf numFmtId="22" fontId="29" fillId="0" borderId="0" xfId="25" applyNumberFormat="1" applyFont="1"/>
    <xf numFmtId="0" fontId="0" fillId="24" borderId="7" xfId="25" applyFont="1" applyFill="1" applyBorder="1" applyAlignment="1">
      <alignment vertical="center"/>
    </xf>
    <xf numFmtId="0" fontId="17" fillId="0" borderId="90" xfId="22" applyFont="1" applyBorder="1">
      <alignment vertical="center"/>
    </xf>
    <xf numFmtId="0" fontId="21" fillId="0" borderId="0" xfId="30" applyFont="1" applyAlignment="1">
      <alignment horizontal="left" vertical="center"/>
    </xf>
    <xf numFmtId="0" fontId="23" fillId="13" borderId="3" xfId="30" applyFont="1" applyFill="1" applyBorder="1" applyAlignment="1">
      <alignment horizontal="center" vertical="center" wrapText="1"/>
    </xf>
    <xf numFmtId="0" fontId="23" fillId="13" borderId="4" xfId="30" applyFont="1" applyFill="1" applyBorder="1" applyAlignment="1">
      <alignment horizontal="center" vertical="center" wrapText="1"/>
    </xf>
    <xf numFmtId="0" fontId="23" fillId="13" borderId="4" xfId="30" applyFont="1" applyFill="1" applyBorder="1" applyAlignment="1">
      <alignment horizontal="center" vertical="center"/>
    </xf>
    <xf numFmtId="0" fontId="23" fillId="14" borderId="4" xfId="30" applyFont="1" applyFill="1" applyBorder="1" applyAlignment="1">
      <alignment horizontal="center" vertical="center" wrapText="1"/>
    </xf>
    <xf numFmtId="0" fontId="17" fillId="10" borderId="0" xfId="0" applyFont="1" applyFill="1">
      <alignment vertical="center"/>
    </xf>
    <xf numFmtId="0" fontId="17" fillId="25" borderId="0" xfId="0" applyFont="1" applyFill="1">
      <alignment vertical="center"/>
    </xf>
    <xf numFmtId="0" fontId="17" fillId="26" borderId="0" xfId="0" applyFont="1" applyFill="1">
      <alignment vertical="center"/>
    </xf>
    <xf numFmtId="0" fontId="17" fillId="27" borderId="0" xfId="0" applyFont="1" applyFill="1">
      <alignment vertical="center"/>
    </xf>
    <xf numFmtId="0" fontId="17" fillId="20" borderId="0" xfId="0" applyFont="1" applyFill="1">
      <alignment vertical="center"/>
    </xf>
    <xf numFmtId="0" fontId="17" fillId="28" borderId="0" xfId="0" applyFont="1" applyFill="1">
      <alignment vertical="center"/>
    </xf>
    <xf numFmtId="0" fontId="17" fillId="29" borderId="0" xfId="0" applyFont="1" applyFill="1">
      <alignment vertical="center"/>
    </xf>
    <xf numFmtId="0" fontId="0" fillId="29" borderId="0" xfId="0" applyFill="1">
      <alignment vertical="center"/>
    </xf>
    <xf numFmtId="0" fontId="0" fillId="26" borderId="0" xfId="0" applyFill="1">
      <alignment vertical="center"/>
    </xf>
    <xf numFmtId="0" fontId="17" fillId="30" borderId="0" xfId="0" applyFont="1" applyFill="1">
      <alignment vertical="center"/>
    </xf>
    <xf numFmtId="0" fontId="31" fillId="5" borderId="7" xfId="5" applyFont="1" applyFill="1" applyBorder="1" applyAlignment="1">
      <alignment vertical="center" wrapText="1"/>
    </xf>
    <xf numFmtId="0" fontId="31" fillId="0" borderId="0" xfId="0" applyFont="1" applyAlignment="1">
      <alignment vertical="center" wrapText="1"/>
    </xf>
    <xf numFmtId="0" fontId="0" fillId="0" borderId="13" xfId="0" applyBorder="1" applyAlignment="1">
      <alignment horizontal="center" vertical="center"/>
    </xf>
    <xf numFmtId="0" fontId="31" fillId="5" borderId="0" xfId="0" applyFont="1" applyFill="1">
      <alignment vertical="center"/>
    </xf>
    <xf numFmtId="0" fontId="17" fillId="7" borderId="2" xfId="22" applyFont="1" applyFill="1" applyBorder="1" applyAlignment="1">
      <alignment horizontal="center" vertical="center"/>
    </xf>
    <xf numFmtId="11" fontId="17" fillId="0" borderId="0" xfId="18" applyNumberFormat="1" applyFont="1">
      <alignment vertical="center"/>
    </xf>
    <xf numFmtId="0" fontId="40" fillId="0" borderId="13" xfId="0" applyFont="1" applyBorder="1" applyAlignment="1">
      <alignment horizontal="center" vertical="center"/>
    </xf>
    <xf numFmtId="0" fontId="31" fillId="0" borderId="15" xfId="0" applyFont="1" applyBorder="1" applyAlignment="1">
      <alignment horizontal="center" vertical="center"/>
    </xf>
    <xf numFmtId="0" fontId="31" fillId="0" borderId="21" xfId="0" applyFont="1" applyBorder="1" applyAlignment="1">
      <alignment horizontal="center" vertical="center"/>
    </xf>
    <xf numFmtId="0" fontId="74" fillId="0" borderId="15" xfId="0" applyFont="1" applyBorder="1" applyAlignment="1">
      <alignment horizontal="center" vertical="center"/>
    </xf>
    <xf numFmtId="0" fontId="74" fillId="0" borderId="19" xfId="0" applyFont="1" applyBorder="1" applyAlignment="1">
      <alignment horizontal="center" vertical="center"/>
    </xf>
    <xf numFmtId="0" fontId="75" fillId="13" borderId="7" xfId="0" applyFont="1" applyFill="1" applyBorder="1" applyAlignment="1">
      <alignment horizontal="center" vertical="center"/>
    </xf>
    <xf numFmtId="0" fontId="34" fillId="0" borderId="7" xfId="0" applyFont="1" applyBorder="1" applyAlignment="1">
      <alignment horizontal="center" vertical="center"/>
    </xf>
    <xf numFmtId="0" fontId="76" fillId="0" borderId="7" xfId="0" applyFont="1" applyBorder="1" applyAlignment="1">
      <alignment horizontal="center" vertical="center"/>
    </xf>
    <xf numFmtId="0" fontId="34" fillId="0" borderId="13" xfId="0" applyFont="1" applyBorder="1">
      <alignment vertical="center"/>
    </xf>
    <xf numFmtId="0" fontId="34" fillId="0" borderId="7" xfId="0" applyFont="1" applyBorder="1" applyAlignment="1">
      <alignment vertical="center" wrapText="1"/>
    </xf>
    <xf numFmtId="0" fontId="22" fillId="2" borderId="7" xfId="64" applyFont="1" applyFill="1" applyBorder="1" applyAlignment="1">
      <alignment horizontal="left" vertical="center" wrapText="1"/>
    </xf>
    <xf numFmtId="0" fontId="22" fillId="2" borderId="7" xfId="64" applyFont="1" applyFill="1" applyBorder="1" applyAlignment="1">
      <alignment horizontal="center" vertical="center"/>
    </xf>
    <xf numFmtId="0" fontId="22" fillId="2" borderId="7" xfId="64" applyFont="1" applyFill="1" applyBorder="1" applyAlignment="1">
      <alignment horizontal="center" vertical="center" wrapText="1"/>
    </xf>
    <xf numFmtId="0" fontId="22" fillId="16" borderId="7" xfId="64" applyFont="1" applyFill="1" applyBorder="1" applyAlignment="1">
      <alignment horizontal="center" vertical="center" wrapText="1"/>
    </xf>
    <xf numFmtId="0" fontId="19" fillId="0" borderId="0" xfId="64" applyFont="1">
      <alignment vertical="center"/>
    </xf>
    <xf numFmtId="9" fontId="17" fillId="0" borderId="5" xfId="1" applyNumberFormat="1" applyFont="1" applyBorder="1" applyAlignment="1" applyProtection="1">
      <alignment horizontal="center" vertical="center" wrapText="1"/>
      <protection locked="0"/>
    </xf>
    <xf numFmtId="9" fontId="17" fillId="0" borderId="50" xfId="1" applyNumberFormat="1" applyFont="1" applyBorder="1" applyAlignment="1">
      <alignment horizontal="center" vertical="center"/>
    </xf>
    <xf numFmtId="10" fontId="32" fillId="0" borderId="0" xfId="0" applyNumberFormat="1" applyFont="1">
      <alignment vertical="center"/>
    </xf>
    <xf numFmtId="9" fontId="17" fillId="0" borderId="0" xfId="18" applyNumberFormat="1" applyFont="1">
      <alignment vertical="center"/>
    </xf>
    <xf numFmtId="8" fontId="17" fillId="0" borderId="0" xfId="18" applyNumberFormat="1" applyFont="1">
      <alignment vertical="center"/>
    </xf>
    <xf numFmtId="0" fontId="0" fillId="0" borderId="7" xfId="25" applyFont="1" applyBorder="1"/>
    <xf numFmtId="0" fontId="0" fillId="22" borderId="7" xfId="25" applyFont="1" applyFill="1" applyBorder="1" applyAlignment="1">
      <alignment horizontal="left" vertical="center"/>
    </xf>
    <xf numFmtId="0" fontId="23" fillId="13" borderId="38" xfId="18" applyFont="1" applyFill="1" applyBorder="1" applyAlignment="1">
      <alignment horizontal="center" vertical="center" wrapText="1"/>
    </xf>
    <xf numFmtId="0" fontId="23" fillId="13" borderId="5" xfId="18" applyFont="1" applyFill="1" applyBorder="1" applyAlignment="1">
      <alignment horizontal="center" vertical="center" wrapText="1"/>
    </xf>
    <xf numFmtId="0" fontId="23" fillId="13" borderId="6" xfId="18" applyFont="1" applyFill="1" applyBorder="1" applyAlignment="1">
      <alignment horizontal="center" vertical="center" wrapText="1"/>
    </xf>
    <xf numFmtId="0" fontId="23" fillId="14" borderId="34" xfId="21" applyFont="1" applyFill="1" applyBorder="1" applyAlignment="1">
      <alignment horizontal="center" vertical="center"/>
    </xf>
    <xf numFmtId="0" fontId="23" fillId="14" borderId="6" xfId="21" applyFont="1" applyFill="1" applyBorder="1" applyAlignment="1">
      <alignment horizontal="center" vertical="center"/>
    </xf>
    <xf numFmtId="0" fontId="23" fillId="14" borderId="5" xfId="21" applyFont="1" applyFill="1" applyBorder="1" applyAlignment="1">
      <alignment horizontal="center" vertical="center" wrapText="1"/>
    </xf>
    <xf numFmtId="0" fontId="23" fillId="14" borderId="6" xfId="21" applyFont="1" applyFill="1" applyBorder="1" applyAlignment="1">
      <alignment horizontal="center" vertical="center" wrapText="1"/>
    </xf>
    <xf numFmtId="0" fontId="19" fillId="0" borderId="40" xfId="22" applyFont="1" applyBorder="1" applyAlignment="1">
      <alignment horizontal="left" vertical="center"/>
    </xf>
    <xf numFmtId="0" fontId="17" fillId="0" borderId="40" xfId="22" applyFont="1" applyBorder="1" applyAlignment="1">
      <alignment horizontal="center" vertical="center"/>
    </xf>
    <xf numFmtId="0" fontId="17" fillId="0" borderId="40" xfId="22" applyFont="1" applyBorder="1" applyAlignment="1">
      <alignment horizontal="left" vertical="center"/>
    </xf>
    <xf numFmtId="0" fontId="19" fillId="0" borderId="2" xfId="22" applyFont="1" applyBorder="1" applyAlignment="1">
      <alignment horizontal="left" vertical="center"/>
    </xf>
    <xf numFmtId="0" fontId="19" fillId="0" borderId="40" xfId="22" applyFont="1" applyBorder="1" applyAlignment="1">
      <alignment horizontal="center" vertical="center"/>
    </xf>
    <xf numFmtId="0" fontId="23" fillId="14" borderId="34" xfId="30" applyFont="1" applyFill="1" applyBorder="1" applyAlignment="1">
      <alignment horizontal="center" vertical="center"/>
    </xf>
    <xf numFmtId="0" fontId="17" fillId="4" borderId="40" xfId="22" applyFont="1" applyFill="1" applyBorder="1" applyAlignment="1">
      <alignment horizontal="left" vertical="center"/>
    </xf>
    <xf numFmtId="0" fontId="23" fillId="13" borderId="91" xfId="18" applyFont="1" applyFill="1" applyBorder="1" applyAlignment="1">
      <alignment horizontal="left" vertical="center"/>
    </xf>
    <xf numFmtId="0" fontId="23" fillId="13" borderId="91" xfId="68" applyFont="1" applyFill="1" applyBorder="1" applyAlignment="1">
      <alignment horizontal="left" vertical="center"/>
    </xf>
    <xf numFmtId="0" fontId="44" fillId="0" borderId="0" xfId="18" applyFont="1" applyAlignment="1">
      <alignment horizontal="left" vertical="center"/>
    </xf>
    <xf numFmtId="0" fontId="77" fillId="0" borderId="0" xfId="18" applyFont="1" applyAlignment="1">
      <alignment horizontal="left" vertical="center"/>
    </xf>
    <xf numFmtId="0" fontId="45" fillId="11" borderId="49" xfId="18" applyFont="1" applyFill="1" applyBorder="1" applyAlignment="1">
      <alignment horizontal="left" vertical="center"/>
    </xf>
    <xf numFmtId="0" fontId="44" fillId="0" borderId="0" xfId="18" applyFont="1" applyAlignment="1">
      <alignment horizontal="center" vertical="center"/>
    </xf>
    <xf numFmtId="0" fontId="23" fillId="13" borderId="92" xfId="18" applyFont="1" applyFill="1" applyBorder="1" applyAlignment="1">
      <alignment horizontal="center" vertical="center" wrapText="1"/>
    </xf>
    <xf numFmtId="0" fontId="23" fillId="13" borderId="2" xfId="18" applyFont="1" applyFill="1" applyBorder="1" applyAlignment="1">
      <alignment horizontal="center" vertical="center" wrapText="1"/>
    </xf>
    <xf numFmtId="0" fontId="45" fillId="24" borderId="6" xfId="18" applyFont="1" applyFill="1" applyBorder="1" applyAlignment="1">
      <alignment horizontal="center" vertical="center" wrapText="1"/>
    </xf>
    <xf numFmtId="0" fontId="45" fillId="11" borderId="49" xfId="18" applyFont="1" applyFill="1" applyBorder="1" applyAlignment="1">
      <alignment horizontal="center" vertical="center"/>
    </xf>
    <xf numFmtId="0" fontId="28" fillId="0" borderId="0" xfId="22" applyFont="1" applyAlignment="1">
      <alignment horizontal="center" vertical="center"/>
    </xf>
    <xf numFmtId="0" fontId="23" fillId="14" borderId="93" xfId="30" applyFont="1" applyFill="1" applyBorder="1" applyAlignment="1">
      <alignment horizontal="center" vertical="center" wrapText="1"/>
    </xf>
    <xf numFmtId="0" fontId="45" fillId="13" borderId="50" xfId="18" applyFont="1" applyFill="1" applyBorder="1" applyAlignment="1">
      <alignment horizontal="left" vertical="center"/>
    </xf>
    <xf numFmtId="0" fontId="45" fillId="11" borderId="50" xfId="18" applyFont="1" applyFill="1" applyBorder="1" applyAlignment="1">
      <alignment horizontal="left" vertical="center"/>
    </xf>
    <xf numFmtId="0" fontId="45" fillId="13" borderId="5" xfId="18" applyFont="1" applyFill="1" applyBorder="1" applyAlignment="1">
      <alignment horizontal="left" vertical="center" wrapText="1"/>
    </xf>
    <xf numFmtId="0" fontId="45" fillId="11" borderId="94" xfId="18" applyFont="1" applyFill="1" applyBorder="1" applyAlignment="1">
      <alignment horizontal="left" vertical="center"/>
    </xf>
    <xf numFmtId="0" fontId="45" fillId="13" borderId="95" xfId="18" applyFont="1" applyFill="1" applyBorder="1" applyAlignment="1">
      <alignment horizontal="left" vertical="center" wrapText="1"/>
    </xf>
    <xf numFmtId="0" fontId="17" fillId="0" borderId="0" xfId="72" applyFont="1">
      <alignment vertical="center"/>
    </xf>
    <xf numFmtId="0" fontId="21" fillId="0" borderId="0" xfId="72" applyFont="1">
      <alignment vertical="center"/>
    </xf>
    <xf numFmtId="0" fontId="1" fillId="0" borderId="0" xfId="72">
      <alignment vertical="center"/>
    </xf>
    <xf numFmtId="0" fontId="23" fillId="13" borderId="96" xfId="73" applyFont="1" applyFill="1" applyBorder="1" applyAlignment="1" applyProtection="1">
      <alignment horizontal="center" vertical="center" wrapText="1"/>
      <protection locked="0"/>
    </xf>
    <xf numFmtId="0" fontId="17" fillId="0" borderId="1" xfId="72" applyFont="1" applyBorder="1" applyProtection="1">
      <alignment vertical="center"/>
      <protection locked="0"/>
    </xf>
    <xf numFmtId="9" fontId="17" fillId="0" borderId="1" xfId="74" applyFont="1" applyBorder="1" applyProtection="1">
      <alignment vertical="center"/>
      <protection locked="0"/>
    </xf>
    <xf numFmtId="0" fontId="19" fillId="19" borderId="0" xfId="73" applyFont="1" applyFill="1" applyAlignment="1" applyProtection="1">
      <alignment horizontal="left" vertical="center"/>
      <protection locked="0"/>
    </xf>
    <xf numFmtId="0" fontId="31" fillId="5" borderId="0" xfId="0" applyFont="1" applyFill="1" applyBorder="1" applyAlignment="1">
      <alignment vertical="center" wrapText="1"/>
    </xf>
    <xf numFmtId="9" fontId="29" fillId="0" borderId="0" xfId="8">
      <alignment vertical="center"/>
    </xf>
    <xf numFmtId="0" fontId="31" fillId="5" borderId="103" xfId="0" applyFont="1" applyFill="1" applyBorder="1" applyAlignment="1">
      <alignment vertical="center" wrapText="1"/>
    </xf>
    <xf numFmtId="9" fontId="17" fillId="0" borderId="2" xfId="8" applyFont="1" applyBorder="1">
      <alignment vertical="center"/>
    </xf>
    <xf numFmtId="0" fontId="17" fillId="0" borderId="104" xfId="72" applyFont="1" applyBorder="1" applyAlignment="1" applyProtection="1">
      <alignment horizontal="center" vertical="center"/>
      <protection locked="0"/>
    </xf>
    <xf numFmtId="0" fontId="17" fillId="0" borderId="105" xfId="72" applyFont="1" applyBorder="1" applyProtection="1">
      <alignment vertical="center"/>
      <protection locked="0"/>
    </xf>
    <xf numFmtId="0" fontId="19" fillId="0" borderId="2" xfId="22" applyFont="1" applyBorder="1" applyAlignment="1">
      <alignment horizontal="center" vertical="center"/>
    </xf>
    <xf numFmtId="0" fontId="23" fillId="22" borderId="4" xfId="30" applyFont="1" applyFill="1" applyBorder="1" applyAlignment="1">
      <alignment horizontal="center" vertical="center" wrapText="1"/>
    </xf>
    <xf numFmtId="0" fontId="29" fillId="0" borderId="0" xfId="5" applyAlignment="1">
      <alignment horizontal="center" vertical="center"/>
    </xf>
    <xf numFmtId="0" fontId="17" fillId="0" borderId="5" xfId="18" applyFont="1" applyFill="1" applyBorder="1" applyAlignment="1" applyProtection="1">
      <alignment horizontal="center" vertical="center" wrapText="1"/>
      <protection locked="0"/>
    </xf>
    <xf numFmtId="0" fontId="0" fillId="0" borderId="0" xfId="0" applyFill="1">
      <alignment vertical="center"/>
    </xf>
    <xf numFmtId="0" fontId="63" fillId="19" borderId="0" xfId="75" applyFont="1" applyFill="1">
      <alignment vertical="center"/>
    </xf>
    <xf numFmtId="0" fontId="44" fillId="19" borderId="0" xfId="75" applyFont="1" applyFill="1">
      <alignment vertical="center"/>
    </xf>
    <xf numFmtId="0" fontId="46" fillId="14" borderId="7" xfId="75" applyFont="1" applyFill="1" applyBorder="1" applyAlignment="1">
      <alignment horizontal="center" vertical="top" wrapText="1"/>
    </xf>
    <xf numFmtId="0" fontId="44" fillId="19" borderId="7" xfId="75" applyFont="1" applyFill="1" applyBorder="1" applyAlignment="1">
      <alignment vertical="center"/>
    </xf>
    <xf numFmtId="49" fontId="44" fillId="19" borderId="7" xfId="75" applyNumberFormat="1" applyFont="1" applyFill="1" applyBorder="1">
      <alignment vertical="center"/>
    </xf>
    <xf numFmtId="0" fontId="64" fillId="19" borderId="7" xfId="75" applyFont="1" applyFill="1" applyBorder="1">
      <alignment vertical="center"/>
    </xf>
    <xf numFmtId="0" fontId="44" fillId="19" borderId="7" xfId="75" applyFont="1" applyFill="1" applyBorder="1" applyAlignment="1">
      <alignment horizontal="center" vertical="center"/>
    </xf>
    <xf numFmtId="0" fontId="44" fillId="19" borderId="7" xfId="75" applyFont="1" applyFill="1" applyBorder="1">
      <alignment vertical="center"/>
    </xf>
    <xf numFmtId="0" fontId="44" fillId="19" borderId="7" xfId="75" applyNumberFormat="1" applyFont="1" applyFill="1" applyBorder="1">
      <alignment vertical="center"/>
    </xf>
    <xf numFmtId="0" fontId="44" fillId="19" borderId="7" xfId="75" applyNumberFormat="1" applyFont="1" applyFill="1" applyBorder="1" applyAlignment="1">
      <alignment vertical="center"/>
    </xf>
    <xf numFmtId="0" fontId="44" fillId="3" borderId="7" xfId="75" applyFont="1" applyFill="1" applyBorder="1">
      <alignment vertical="center"/>
    </xf>
    <xf numFmtId="0" fontId="79" fillId="3" borderId="7" xfId="76" applyFill="1" applyBorder="1">
      <alignment vertical="center"/>
    </xf>
    <xf numFmtId="0" fontId="79" fillId="0" borderId="7" xfId="76" applyFill="1" applyBorder="1">
      <alignment vertical="center"/>
    </xf>
    <xf numFmtId="0" fontId="44" fillId="3" borderId="7" xfId="75" applyFont="1" applyFill="1" applyBorder="1" applyAlignment="1">
      <alignment vertical="center"/>
    </xf>
    <xf numFmtId="0" fontId="44" fillId="3" borderId="7" xfId="75" applyNumberFormat="1" applyFont="1" applyFill="1" applyBorder="1">
      <alignment vertical="center"/>
    </xf>
    <xf numFmtId="14" fontId="44" fillId="3" borderId="7" xfId="75" applyNumberFormat="1" applyFont="1" applyFill="1" applyBorder="1">
      <alignment vertical="center"/>
    </xf>
    <xf numFmtId="0" fontId="44" fillId="19" borderId="7" xfId="75" quotePrefix="1" applyNumberFormat="1" applyFont="1" applyFill="1" applyBorder="1">
      <alignment vertical="center"/>
    </xf>
    <xf numFmtId="0" fontId="48" fillId="19" borderId="7" xfId="29" applyNumberFormat="1" applyFont="1" applyFill="1" applyBorder="1">
      <alignment vertical="center"/>
    </xf>
    <xf numFmtId="14" fontId="44" fillId="19" borderId="7" xfId="75" applyNumberFormat="1" applyFont="1" applyFill="1" applyBorder="1" applyAlignment="1">
      <alignment horizontal="left" vertical="center"/>
    </xf>
    <xf numFmtId="14" fontId="44" fillId="19" borderId="7" xfId="75" applyNumberFormat="1" applyFont="1" applyFill="1" applyBorder="1">
      <alignment vertical="center"/>
    </xf>
    <xf numFmtId="0" fontId="44" fillId="19" borderId="7" xfId="75" quotePrefix="1" applyNumberFormat="1" applyFont="1" applyFill="1" applyBorder="1" applyAlignment="1">
      <alignment vertical="center"/>
    </xf>
    <xf numFmtId="0" fontId="70" fillId="19" borderId="7" xfId="75" applyFont="1" applyFill="1" applyBorder="1" applyAlignment="1">
      <alignment horizontal="center" vertical="center"/>
    </xf>
    <xf numFmtId="0" fontId="80" fillId="19" borderId="7" xfId="75" applyFont="1" applyFill="1" applyBorder="1" applyAlignment="1">
      <alignment horizontal="center" vertical="center"/>
    </xf>
    <xf numFmtId="0" fontId="66" fillId="19" borderId="0" xfId="75" applyFont="1" applyFill="1">
      <alignment vertical="center"/>
    </xf>
    <xf numFmtId="0" fontId="68" fillId="19" borderId="0" xfId="75" applyFont="1" applyFill="1">
      <alignment vertical="center"/>
    </xf>
    <xf numFmtId="0" fontId="70" fillId="19" borderId="0" xfId="75" applyFont="1" applyFill="1">
      <alignment vertical="center"/>
    </xf>
    <xf numFmtId="0" fontId="72" fillId="14" borderId="7" xfId="75" applyFont="1" applyFill="1" applyBorder="1" applyAlignment="1">
      <alignment horizontal="center" vertical="top" wrapText="1"/>
    </xf>
    <xf numFmtId="0" fontId="20" fillId="19" borderId="7" xfId="75" applyFont="1" applyFill="1" applyBorder="1">
      <alignment vertical="center"/>
    </xf>
    <xf numFmtId="0" fontId="73" fillId="19" borderId="7" xfId="27" applyNumberFormat="1" applyFont="1" applyFill="1" applyBorder="1">
      <alignment vertical="center"/>
    </xf>
    <xf numFmtId="0" fontId="70" fillId="19" borderId="7" xfId="75" applyFont="1" applyFill="1" applyBorder="1" applyAlignment="1">
      <alignment horizontal="left" vertical="center"/>
    </xf>
    <xf numFmtId="0" fontId="73" fillId="0" borderId="7" xfId="28" applyFont="1" applyFill="1" applyBorder="1">
      <alignment vertical="center"/>
    </xf>
    <xf numFmtId="0" fontId="20" fillId="7" borderId="7" xfId="75" applyFont="1" applyFill="1" applyBorder="1">
      <alignment vertical="center"/>
    </xf>
    <xf numFmtId="0" fontId="73" fillId="7" borderId="7" xfId="27" applyNumberFormat="1" applyFont="1" applyFill="1" applyBorder="1">
      <alignment vertical="center"/>
    </xf>
    <xf numFmtId="0" fontId="20" fillId="19" borderId="7" xfId="75" applyFont="1" applyFill="1" applyBorder="1" applyAlignment="1">
      <alignment vertical="center"/>
    </xf>
    <xf numFmtId="0" fontId="16" fillId="19" borderId="0" xfId="75" applyFont="1" applyFill="1">
      <alignment vertical="center"/>
    </xf>
    <xf numFmtId="0" fontId="46" fillId="14" borderId="7" xfId="75" applyFont="1" applyFill="1" applyBorder="1">
      <alignment vertical="center"/>
    </xf>
    <xf numFmtId="0" fontId="69" fillId="14" borderId="7" xfId="75" applyFont="1" applyFill="1" applyBorder="1">
      <alignment vertical="center"/>
    </xf>
    <xf numFmtId="0" fontId="71" fillId="14" borderId="7" xfId="75" applyFont="1" applyFill="1" applyBorder="1">
      <alignment vertical="center"/>
    </xf>
    <xf numFmtId="0" fontId="19" fillId="0" borderId="0" xfId="64" applyFont="1" applyAlignment="1">
      <alignment vertical="center" wrapText="1"/>
    </xf>
    <xf numFmtId="0" fontId="23" fillId="11" borderId="24" xfId="7" applyFont="1" applyFill="1" applyBorder="1" applyAlignment="1">
      <alignment horizontal="center" vertical="center"/>
    </xf>
    <xf numFmtId="0" fontId="23" fillId="11" borderId="25" xfId="7" applyFont="1" applyFill="1" applyBorder="1" applyAlignment="1">
      <alignment horizontal="center" vertical="center"/>
    </xf>
    <xf numFmtId="0" fontId="23" fillId="11" borderId="8" xfId="7" applyFont="1" applyFill="1" applyBorder="1" applyAlignment="1">
      <alignment horizontal="center" vertical="center"/>
    </xf>
    <xf numFmtId="0" fontId="19" fillId="0" borderId="0" xfId="7" applyFont="1" applyAlignment="1">
      <alignment vertical="center"/>
    </xf>
    <xf numFmtId="0" fontId="22" fillId="29" borderId="24" xfId="7" applyFont="1" applyFill="1" applyBorder="1">
      <alignment vertical="center"/>
    </xf>
    <xf numFmtId="0" fontId="22" fillId="29" borderId="25" xfId="7" applyFont="1" applyFill="1" applyBorder="1">
      <alignment vertical="center"/>
    </xf>
    <xf numFmtId="0" fontId="22" fillId="29" borderId="35" xfId="7" applyFont="1" applyFill="1" applyBorder="1">
      <alignment vertical="center"/>
    </xf>
    <xf numFmtId="0" fontId="22" fillId="29" borderId="36" xfId="7" applyFont="1" applyFill="1" applyBorder="1">
      <alignment vertical="center"/>
    </xf>
    <xf numFmtId="0" fontId="22" fillId="29" borderId="7" xfId="64" applyFont="1" applyFill="1" applyBorder="1" applyAlignment="1">
      <alignment horizontal="center" vertical="center"/>
    </xf>
    <xf numFmtId="0" fontId="22" fillId="29" borderId="7" xfId="64" applyFont="1" applyFill="1" applyBorder="1" applyAlignment="1">
      <alignment horizontal="left" vertical="center" wrapText="1"/>
    </xf>
    <xf numFmtId="0" fontId="22" fillId="29" borderId="7" xfId="64" applyFont="1" applyFill="1" applyBorder="1" applyAlignment="1">
      <alignment horizontal="center" vertical="center" wrapText="1"/>
    </xf>
    <xf numFmtId="0" fontId="22" fillId="29" borderId="37" xfId="7" applyFont="1" applyFill="1" applyBorder="1">
      <alignment vertical="center"/>
    </xf>
    <xf numFmtId="0" fontId="32" fillId="0" borderId="0" xfId="0" applyFont="1" applyAlignment="1">
      <alignment vertical="center"/>
    </xf>
    <xf numFmtId="0" fontId="23" fillId="13" borderId="87" xfId="3" applyFont="1" applyFill="1" applyBorder="1" applyAlignment="1">
      <alignment horizontal="center" vertical="center" wrapText="1"/>
    </xf>
    <xf numFmtId="49" fontId="0" fillId="0" borderId="26" xfId="0" applyNumberFormat="1" applyBorder="1" applyAlignment="1">
      <alignment horizontal="center" vertical="center"/>
    </xf>
    <xf numFmtId="49" fontId="0" fillId="0" borderId="32" xfId="0" applyNumberFormat="1" applyBorder="1" applyAlignment="1">
      <alignment horizontal="center" vertical="center"/>
    </xf>
    <xf numFmtId="0" fontId="0" fillId="0" borderId="26" xfId="0" applyBorder="1" applyAlignment="1">
      <alignment horizontal="left" vertical="center"/>
    </xf>
    <xf numFmtId="0" fontId="0" fillId="0" borderId="26" xfId="0" applyBorder="1" applyAlignment="1">
      <alignment horizontal="left" vertical="center" wrapText="1"/>
    </xf>
    <xf numFmtId="0" fontId="0" fillId="0" borderId="32" xfId="0" applyBorder="1" applyAlignment="1">
      <alignment horizontal="left" vertical="center" wrapText="1"/>
    </xf>
    <xf numFmtId="0" fontId="0" fillId="0" borderId="32" xfId="0" applyBorder="1" applyAlignment="1">
      <alignment horizontal="left" vertical="center"/>
    </xf>
    <xf numFmtId="0" fontId="39" fillId="0" borderId="0" xfId="5" applyFont="1" applyAlignment="1">
      <alignment horizontal="center" vertical="center"/>
    </xf>
    <xf numFmtId="0" fontId="0" fillId="0" borderId="13" xfId="0" applyBorder="1">
      <alignment vertical="center"/>
    </xf>
    <xf numFmtId="0" fontId="0" fillId="0" borderId="9" xfId="0" applyBorder="1">
      <alignment vertical="center"/>
    </xf>
    <xf numFmtId="0" fontId="23" fillId="13" borderId="40" xfId="18" applyFont="1" applyFill="1" applyBorder="1" applyAlignment="1">
      <alignment horizontal="center" vertical="center" wrapText="1"/>
    </xf>
    <xf numFmtId="0" fontId="23" fillId="13" borderId="38" xfId="18" applyFont="1" applyFill="1" applyBorder="1" applyAlignment="1">
      <alignment horizontal="center" vertical="center" wrapText="1"/>
    </xf>
    <xf numFmtId="6" fontId="17" fillId="0" borderId="5" xfId="19" applyFont="1" applyBorder="1" applyAlignment="1" applyProtection="1">
      <alignment vertical="center" wrapText="1"/>
      <protection locked="0"/>
    </xf>
    <xf numFmtId="6" fontId="17" fillId="0" borderId="6" xfId="19" applyFont="1" applyBorder="1" applyAlignment="1" applyProtection="1">
      <alignment vertical="center" wrapText="1"/>
      <protection locked="0"/>
    </xf>
    <xf numFmtId="0" fontId="23" fillId="13" borderId="5" xfId="18" applyFont="1" applyFill="1" applyBorder="1" applyAlignment="1">
      <alignment horizontal="center" vertical="center" wrapText="1"/>
    </xf>
    <xf numFmtId="0" fontId="23" fillId="13" borderId="34" xfId="18" applyFont="1" applyFill="1" applyBorder="1" applyAlignment="1">
      <alignment horizontal="center" vertical="center" wrapText="1"/>
    </xf>
    <xf numFmtId="0" fontId="23" fillId="13" borderId="6" xfId="18" applyFont="1" applyFill="1" applyBorder="1" applyAlignment="1">
      <alignment horizontal="center" vertical="center" wrapText="1"/>
    </xf>
    <xf numFmtId="6" fontId="32" fillId="0" borderId="92" xfId="19" applyFont="1" applyBorder="1" applyAlignment="1" applyProtection="1">
      <alignment horizontal="left" vertical="center" wrapText="1"/>
      <protection locked="0"/>
    </xf>
    <xf numFmtId="6" fontId="32" fillId="0" borderId="106" xfId="19" applyFont="1" applyBorder="1" applyAlignment="1" applyProtection="1">
      <alignment horizontal="left" vertical="center" wrapText="1"/>
      <protection locked="0"/>
    </xf>
    <xf numFmtId="0" fontId="23" fillId="13" borderId="93" xfId="18" applyFont="1" applyFill="1" applyBorder="1" applyAlignment="1">
      <alignment horizontal="center" vertical="center" wrapText="1"/>
    </xf>
    <xf numFmtId="0" fontId="23" fillId="13" borderId="40" xfId="23" applyFont="1" applyFill="1" applyBorder="1" applyAlignment="1">
      <alignment horizontal="center" vertical="center" wrapText="1"/>
    </xf>
    <xf numFmtId="0" fontId="23" fillId="13" borderId="41" xfId="23" applyFont="1" applyFill="1" applyBorder="1" applyAlignment="1">
      <alignment horizontal="center" vertical="center" wrapText="1"/>
    </xf>
    <xf numFmtId="0" fontId="23" fillId="13" borderId="38" xfId="23" applyFont="1" applyFill="1" applyBorder="1" applyAlignment="1">
      <alignment horizontal="center" vertical="center" wrapText="1"/>
    </xf>
    <xf numFmtId="0" fontId="21" fillId="0" borderId="10" xfId="22" applyFont="1" applyBorder="1" applyAlignment="1">
      <alignment horizontal="center" vertical="center"/>
    </xf>
    <xf numFmtId="0" fontId="21" fillId="0" borderId="11" xfId="22" applyFont="1" applyBorder="1" applyAlignment="1">
      <alignment horizontal="center" vertical="center"/>
    </xf>
    <xf numFmtId="0" fontId="21" fillId="0" borderId="12" xfId="22" applyFont="1" applyBorder="1" applyAlignment="1">
      <alignment horizontal="center" vertical="center"/>
    </xf>
    <xf numFmtId="0" fontId="22" fillId="0" borderId="10" xfId="22" applyFont="1" applyBorder="1" applyAlignment="1">
      <alignment horizontal="center" vertical="center"/>
    </xf>
    <xf numFmtId="0" fontId="22" fillId="0" borderId="11" xfId="22" applyFont="1" applyBorder="1" applyAlignment="1">
      <alignment horizontal="center" vertical="center"/>
    </xf>
    <xf numFmtId="0" fontId="23" fillId="13" borderId="5" xfId="21" applyFont="1" applyFill="1" applyBorder="1">
      <alignment vertical="center"/>
    </xf>
    <xf numFmtId="0" fontId="23" fillId="13" borderId="34" xfId="21" applyFont="1" applyFill="1" applyBorder="1">
      <alignment vertical="center"/>
    </xf>
    <xf numFmtId="0" fontId="23" fillId="13" borderId="6" xfId="21" applyFont="1" applyFill="1" applyBorder="1">
      <alignment vertical="center"/>
    </xf>
    <xf numFmtId="0" fontId="23" fillId="13" borderId="1" xfId="21" applyFont="1" applyFill="1" applyBorder="1">
      <alignment vertical="center"/>
    </xf>
    <xf numFmtId="0" fontId="19" fillId="12" borderId="24" xfId="22" applyFont="1" applyFill="1" applyBorder="1" applyAlignment="1">
      <alignment horizontal="left" vertical="center" wrapText="1"/>
    </xf>
    <xf numFmtId="0" fontId="19" fillId="12" borderId="25" xfId="22" applyFont="1" applyFill="1" applyBorder="1" applyAlignment="1">
      <alignment horizontal="left" vertical="center" wrapText="1"/>
    </xf>
    <xf numFmtId="0" fontId="19" fillId="12" borderId="8" xfId="22" applyFont="1" applyFill="1" applyBorder="1" applyAlignment="1">
      <alignment horizontal="left" vertical="center" wrapText="1"/>
    </xf>
    <xf numFmtId="0" fontId="23" fillId="14" borderId="34" xfId="21" applyFont="1" applyFill="1" applyBorder="1" applyAlignment="1">
      <alignment horizontal="center" vertical="center"/>
    </xf>
    <xf numFmtId="0" fontId="23" fillId="14" borderId="6" xfId="21" applyFont="1" applyFill="1" applyBorder="1" applyAlignment="1">
      <alignment horizontal="center" vertical="center"/>
    </xf>
    <xf numFmtId="0" fontId="23" fillId="14" borderId="5" xfId="21" applyFont="1" applyFill="1" applyBorder="1" applyAlignment="1">
      <alignment horizontal="center" vertical="center" wrapText="1"/>
    </xf>
    <xf numFmtId="0" fontId="23" fillId="14" borderId="6" xfId="21" applyFont="1" applyFill="1" applyBorder="1" applyAlignment="1">
      <alignment horizontal="center" vertical="center" wrapText="1"/>
    </xf>
    <xf numFmtId="0" fontId="23" fillId="14" borderId="34" xfId="30" applyFont="1" applyFill="1" applyBorder="1" applyAlignment="1">
      <alignment horizontal="center" vertical="center"/>
    </xf>
    <xf numFmtId="0" fontId="23" fillId="14" borderId="5" xfId="30" applyFont="1" applyFill="1" applyBorder="1" applyAlignment="1">
      <alignment horizontal="center" vertical="center" wrapText="1"/>
    </xf>
    <xf numFmtId="0" fontId="23" fillId="14" borderId="6" xfId="30" applyFont="1" applyFill="1" applyBorder="1" applyAlignment="1">
      <alignment horizontal="center" vertical="center" wrapText="1"/>
    </xf>
    <xf numFmtId="0" fontId="21" fillId="0" borderId="10" xfId="0" applyFont="1" applyBorder="1" applyAlignment="1">
      <alignment horizontal="center" vertical="center"/>
    </xf>
    <xf numFmtId="0" fontId="21" fillId="0" borderId="12" xfId="0" applyFont="1" applyBorder="1" applyAlignment="1">
      <alignment horizontal="center" vertical="center"/>
    </xf>
    <xf numFmtId="0" fontId="21" fillId="0" borderId="84" xfId="0" applyFont="1" applyBorder="1" applyAlignment="1">
      <alignment horizontal="center" vertical="center"/>
    </xf>
    <xf numFmtId="0" fontId="21" fillId="0" borderId="85" xfId="0" applyFont="1" applyBorder="1" applyAlignment="1">
      <alignment horizontal="center" vertical="center"/>
    </xf>
    <xf numFmtId="0" fontId="21" fillId="0" borderId="86" xfId="0" applyFont="1" applyBorder="1" applyAlignment="1">
      <alignment horizontal="center" vertical="center"/>
    </xf>
    <xf numFmtId="0" fontId="21" fillId="0" borderId="24" xfId="0" applyFont="1" applyBorder="1" applyAlignment="1">
      <alignment horizontal="center" vertical="center"/>
    </xf>
    <xf numFmtId="0" fontId="21" fillId="0" borderId="25" xfId="0" applyFont="1" applyBorder="1" applyAlignment="1">
      <alignment horizontal="center" vertical="center"/>
    </xf>
    <xf numFmtId="0" fontId="21" fillId="0" borderId="8" xfId="0" applyFont="1" applyBorder="1" applyAlignment="1">
      <alignment horizontal="center" vertical="center"/>
    </xf>
    <xf numFmtId="0" fontId="21" fillId="0" borderId="42" xfId="0" applyFont="1" applyBorder="1" applyAlignment="1">
      <alignment horizontal="center" vertical="center"/>
    </xf>
    <xf numFmtId="0" fontId="21" fillId="0" borderId="43" xfId="0" applyFont="1" applyBorder="1" applyAlignment="1">
      <alignment horizontal="center" vertical="center"/>
    </xf>
    <xf numFmtId="0" fontId="21" fillId="0" borderId="44" xfId="0" applyFont="1" applyBorder="1" applyAlignment="1">
      <alignment horizontal="center" vertical="center"/>
    </xf>
    <xf numFmtId="0" fontId="21" fillId="0" borderId="13" xfId="0" applyFont="1" applyBorder="1" applyAlignment="1">
      <alignment horizontal="center" vertical="center"/>
    </xf>
    <xf numFmtId="0" fontId="21" fillId="0" borderId="11" xfId="0" applyFont="1" applyBorder="1" applyAlignment="1">
      <alignment horizontal="center" vertical="center"/>
    </xf>
    <xf numFmtId="0" fontId="22" fillId="2" borderId="24" xfId="7" applyFont="1" applyFill="1" applyBorder="1" applyAlignment="1">
      <alignment horizontal="left" vertical="center"/>
    </xf>
    <xf numFmtId="0" fontId="22" fillId="2" borderId="25" xfId="7" applyFont="1" applyFill="1" applyBorder="1" applyAlignment="1">
      <alignment horizontal="left" vertical="center"/>
    </xf>
    <xf numFmtId="0" fontId="23" fillId="11" borderId="7" xfId="7" applyFont="1" applyFill="1" applyBorder="1" applyAlignment="1">
      <alignment horizontal="center" vertical="center"/>
    </xf>
    <xf numFmtId="0" fontId="23" fillId="13" borderId="98" xfId="73" applyFont="1" applyFill="1" applyBorder="1" applyAlignment="1" applyProtection="1">
      <alignment horizontal="center" vertical="center" wrapText="1"/>
      <protection locked="0"/>
    </xf>
    <xf numFmtId="0" fontId="23" fillId="13" borderId="101" xfId="73" applyFont="1" applyFill="1" applyBorder="1" applyAlignment="1" applyProtection="1">
      <alignment horizontal="center" vertical="center" wrapText="1"/>
      <protection locked="0"/>
    </xf>
    <xf numFmtId="0" fontId="23" fillId="13" borderId="99" xfId="73" applyFont="1" applyFill="1" applyBorder="1" applyAlignment="1" applyProtection="1">
      <alignment horizontal="center" vertical="center" wrapText="1"/>
      <protection locked="0"/>
    </xf>
    <xf numFmtId="0" fontId="23" fillId="13" borderId="102" xfId="73" applyFont="1" applyFill="1" applyBorder="1" applyAlignment="1" applyProtection="1">
      <alignment horizontal="center" vertical="center" wrapText="1"/>
      <protection locked="0"/>
    </xf>
    <xf numFmtId="0" fontId="23" fillId="13" borderId="96" xfId="73" applyFont="1" applyFill="1" applyBorder="1" applyAlignment="1" applyProtection="1">
      <alignment horizontal="center" vertical="center" wrapText="1"/>
      <protection locked="0"/>
    </xf>
    <xf numFmtId="0" fontId="23" fillId="13" borderId="100" xfId="73" applyFont="1" applyFill="1" applyBorder="1" applyAlignment="1" applyProtection="1">
      <alignment horizontal="center" vertical="center" wrapText="1"/>
      <protection locked="0"/>
    </xf>
    <xf numFmtId="0" fontId="23" fillId="13" borderId="97" xfId="73" applyFont="1" applyFill="1" applyBorder="1" applyAlignment="1" applyProtection="1">
      <alignment horizontal="center" vertical="center" wrapText="1"/>
      <protection locked="0"/>
    </xf>
    <xf numFmtId="0" fontId="23" fillId="13" borderId="91" xfId="73" applyFont="1" applyFill="1" applyBorder="1" applyAlignment="1" applyProtection="1">
      <alignment horizontal="center" vertical="center" wrapText="1"/>
      <protection locked="0"/>
    </xf>
    <xf numFmtId="0" fontId="23" fillId="13" borderId="49" xfId="73" applyFont="1" applyFill="1" applyBorder="1" applyAlignment="1" applyProtection="1">
      <alignment horizontal="center" vertical="center" wrapText="1"/>
      <protection locked="0"/>
    </xf>
    <xf numFmtId="0" fontId="23" fillId="13" borderId="40" xfId="15" applyFont="1" applyFill="1" applyBorder="1" applyAlignment="1">
      <alignment horizontal="center" vertical="center" wrapText="1"/>
    </xf>
    <xf numFmtId="0" fontId="23" fillId="13" borderId="38" xfId="15" applyFont="1" applyFill="1" applyBorder="1" applyAlignment="1">
      <alignment horizontal="center" vertical="center" wrapText="1"/>
    </xf>
    <xf numFmtId="0" fontId="23" fillId="13" borderId="5" xfId="15" applyFont="1" applyFill="1" applyBorder="1" applyAlignment="1">
      <alignment horizontal="center" vertical="center" wrapText="1"/>
    </xf>
    <xf numFmtId="0" fontId="23" fillId="13" borderId="34" xfId="15" applyFont="1" applyFill="1" applyBorder="1" applyAlignment="1">
      <alignment horizontal="center" vertical="center" wrapText="1"/>
    </xf>
    <xf numFmtId="0" fontId="23" fillId="13" borderId="6" xfId="15" applyFont="1" applyFill="1" applyBorder="1" applyAlignment="1">
      <alignment horizontal="center" vertical="center" wrapText="1"/>
    </xf>
    <xf numFmtId="0" fontId="23" fillId="13" borderId="48" xfId="15" applyFont="1" applyFill="1" applyBorder="1" applyAlignment="1">
      <alignment horizontal="center" vertical="center" wrapText="1"/>
    </xf>
    <xf numFmtId="0" fontId="23" fillId="11" borderId="5" xfId="16" applyFont="1" applyFill="1" applyBorder="1" applyAlignment="1">
      <alignment horizontal="center" vertical="center"/>
    </xf>
    <xf numFmtId="0" fontId="23" fillId="11" borderId="34" xfId="16" applyFont="1" applyFill="1" applyBorder="1" applyAlignment="1">
      <alignment horizontal="center" vertical="center"/>
    </xf>
    <xf numFmtId="0" fontId="32" fillId="2" borderId="0" xfId="0" applyFont="1" applyFill="1" applyAlignment="1">
      <alignment horizontal="center" vertical="center"/>
    </xf>
    <xf numFmtId="0" fontId="45" fillId="7" borderId="51" xfId="24" applyFont="1" applyFill="1" applyBorder="1" applyAlignment="1">
      <alignment horizontal="center" vertical="center"/>
    </xf>
    <xf numFmtId="0" fontId="45" fillId="7" borderId="52" xfId="24" applyFont="1" applyFill="1" applyBorder="1" applyAlignment="1">
      <alignment horizontal="center" vertical="center"/>
    </xf>
    <xf numFmtId="0" fontId="45" fillId="7" borderId="53" xfId="24" applyFont="1" applyFill="1" applyBorder="1" applyAlignment="1">
      <alignment horizontal="center" vertical="center"/>
    </xf>
  </cellXfs>
  <cellStyles count="77">
    <cellStyle name="パーセント" xfId="8" builtinId="5"/>
    <cellStyle name="パーセント 2" xfId="74" xr:uid="{00000000-0005-0000-0000-000001000000}"/>
    <cellStyle name="ハイパーリンク 2" xfId="76" xr:uid="{00000000-0005-0000-0000-000002000000}"/>
    <cellStyle name="ハイパーリンク 2 4" xfId="29" xr:uid="{00000000-0005-0000-0000-000003000000}"/>
    <cellStyle name="桁区切り" xfId="13" builtinId="6"/>
    <cellStyle name="通貨" xfId="1" builtinId="7"/>
    <cellStyle name="通貨 2" xfId="12" xr:uid="{00000000-0005-0000-0000-000006000000}"/>
    <cellStyle name="通貨 2 2" xfId="40" xr:uid="{00000000-0005-0000-0000-000007000000}"/>
    <cellStyle name="通貨 2 3" xfId="60" xr:uid="{00000000-0005-0000-0000-000008000000}"/>
    <cellStyle name="通貨 3" xfId="19" xr:uid="{00000000-0005-0000-0000-000009000000}"/>
    <cellStyle name="通貨 3 2" xfId="46" xr:uid="{00000000-0005-0000-0000-00000A000000}"/>
    <cellStyle name="通貨 3 3" xfId="66" xr:uid="{00000000-0005-0000-0000-00000B000000}"/>
    <cellStyle name="通貨 4" xfId="31" xr:uid="{00000000-0005-0000-0000-00000C000000}"/>
    <cellStyle name="通貨 5" xfId="51" xr:uid="{00000000-0005-0000-0000-00000D000000}"/>
    <cellStyle name="標準" xfId="0" builtinId="0" customBuiltin="1"/>
    <cellStyle name="標準 15" xfId="22" xr:uid="{00000000-0005-0000-0000-00000F000000}"/>
    <cellStyle name="標準 2" xfId="2" xr:uid="{00000000-0005-0000-0000-000010000000}"/>
    <cellStyle name="標準 2 2" xfId="5" xr:uid="{00000000-0005-0000-0000-000011000000}"/>
    <cellStyle name="標準 2 3" xfId="32" xr:uid="{00000000-0005-0000-0000-000012000000}"/>
    <cellStyle name="標準 2 4" xfId="52" xr:uid="{00000000-0005-0000-0000-000013000000}"/>
    <cellStyle name="標準 26" xfId="27" xr:uid="{00000000-0005-0000-0000-000014000000}"/>
    <cellStyle name="標準 26 2 2" xfId="75" xr:uid="{00000000-0005-0000-0000-000015000000}"/>
    <cellStyle name="標準 3" xfId="3" xr:uid="{00000000-0005-0000-0000-000016000000}"/>
    <cellStyle name="標準 3 10" xfId="72" xr:uid="{00000000-0005-0000-0000-000017000000}"/>
    <cellStyle name="標準 3 2" xfId="7" xr:uid="{00000000-0005-0000-0000-000018000000}"/>
    <cellStyle name="標準 3 2 2" xfId="17" xr:uid="{00000000-0005-0000-0000-000019000000}"/>
    <cellStyle name="標準 3 2 2 2" xfId="44" xr:uid="{00000000-0005-0000-0000-00001A000000}"/>
    <cellStyle name="標準 3 2 2 3" xfId="64" xr:uid="{00000000-0005-0000-0000-00001B000000}"/>
    <cellStyle name="標準 3 2 3" xfId="21" xr:uid="{00000000-0005-0000-0000-00001C000000}"/>
    <cellStyle name="標準 3 2 3 2" xfId="30" xr:uid="{00000000-0005-0000-0000-00001D000000}"/>
    <cellStyle name="標準 3 2 3 2 2" xfId="71" xr:uid="{00000000-0005-0000-0000-00001E000000}"/>
    <cellStyle name="標準 3 2 3 3" xfId="47" xr:uid="{00000000-0005-0000-0000-00001F000000}"/>
    <cellStyle name="標準 3 2 3 4" xfId="67" xr:uid="{00000000-0005-0000-0000-000020000000}"/>
    <cellStyle name="標準 3 2 4" xfId="36" xr:uid="{00000000-0005-0000-0000-000021000000}"/>
    <cellStyle name="標準 3 2 5" xfId="56" xr:uid="{00000000-0005-0000-0000-000022000000}"/>
    <cellStyle name="標準 3 3" xfId="9" xr:uid="{00000000-0005-0000-0000-000023000000}"/>
    <cellStyle name="標準 3 3 2" xfId="37" xr:uid="{00000000-0005-0000-0000-000024000000}"/>
    <cellStyle name="標準 3 3 3" xfId="57" xr:uid="{00000000-0005-0000-0000-000025000000}"/>
    <cellStyle name="標準 3 4" xfId="11" xr:uid="{00000000-0005-0000-0000-000026000000}"/>
    <cellStyle name="標準 3 4 2" xfId="39" xr:uid="{00000000-0005-0000-0000-000027000000}"/>
    <cellStyle name="標準 3 4 3" xfId="59" xr:uid="{00000000-0005-0000-0000-000028000000}"/>
    <cellStyle name="標準 3 5" xfId="15" xr:uid="{00000000-0005-0000-0000-000029000000}"/>
    <cellStyle name="標準 3 5 2" xfId="42" xr:uid="{00000000-0005-0000-0000-00002A000000}"/>
    <cellStyle name="標準 3 5 3" xfId="62" xr:uid="{00000000-0005-0000-0000-00002B000000}"/>
    <cellStyle name="標準 3 6" xfId="18" xr:uid="{00000000-0005-0000-0000-00002C000000}"/>
    <cellStyle name="標準 3 6 2" xfId="23" xr:uid="{00000000-0005-0000-0000-00002D000000}"/>
    <cellStyle name="標準 3 6 2 2" xfId="48" xr:uid="{00000000-0005-0000-0000-00002E000000}"/>
    <cellStyle name="標準 3 6 2 3" xfId="68" xr:uid="{00000000-0005-0000-0000-00002F000000}"/>
    <cellStyle name="標準 3 6 3" xfId="45" xr:uid="{00000000-0005-0000-0000-000030000000}"/>
    <cellStyle name="標準 3 6 4" xfId="65" xr:uid="{00000000-0005-0000-0000-000031000000}"/>
    <cellStyle name="標準 3 6 5" xfId="73" xr:uid="{00000000-0005-0000-0000-000032000000}"/>
    <cellStyle name="標準 3 7" xfId="33" xr:uid="{00000000-0005-0000-0000-000033000000}"/>
    <cellStyle name="標準 3 8" xfId="4" xr:uid="{00000000-0005-0000-0000-000034000000}"/>
    <cellStyle name="標準 3 8 2" xfId="34" xr:uid="{00000000-0005-0000-0000-000035000000}"/>
    <cellStyle name="標準 3 8 3" xfId="54" xr:uid="{00000000-0005-0000-0000-000036000000}"/>
    <cellStyle name="標準 3 9" xfId="53" xr:uid="{00000000-0005-0000-0000-000037000000}"/>
    <cellStyle name="標準 4" xfId="6" xr:uid="{00000000-0005-0000-0000-000038000000}"/>
    <cellStyle name="標準 4 2" xfId="35" xr:uid="{00000000-0005-0000-0000-000039000000}"/>
    <cellStyle name="標準 4 3" xfId="55" xr:uid="{00000000-0005-0000-0000-00003A000000}"/>
    <cellStyle name="標準 5" xfId="10" xr:uid="{00000000-0005-0000-0000-00003B000000}"/>
    <cellStyle name="標準 5 2" xfId="25" xr:uid="{00000000-0005-0000-0000-00003C000000}"/>
    <cellStyle name="標準 5 3" xfId="38" xr:uid="{00000000-0005-0000-0000-00003D000000}"/>
    <cellStyle name="標準 5 4" xfId="58" xr:uid="{00000000-0005-0000-0000-00003E000000}"/>
    <cellStyle name="標準 6" xfId="16" xr:uid="{00000000-0005-0000-0000-00003F000000}"/>
    <cellStyle name="標準 6 2" xfId="28" xr:uid="{00000000-0005-0000-0000-000040000000}"/>
    <cellStyle name="標準 6 3" xfId="43" xr:uid="{00000000-0005-0000-0000-000041000000}"/>
    <cellStyle name="標準 6 4" xfId="63" xr:uid="{00000000-0005-0000-0000-000042000000}"/>
    <cellStyle name="標準 7" xfId="14" xr:uid="{00000000-0005-0000-0000-000043000000}"/>
    <cellStyle name="標準 7 2" xfId="24" xr:uid="{00000000-0005-0000-0000-000044000000}"/>
    <cellStyle name="標準 7 2 2" xfId="49" xr:uid="{00000000-0005-0000-0000-000045000000}"/>
    <cellStyle name="標準 7 2 3" xfId="69" xr:uid="{00000000-0005-0000-0000-000046000000}"/>
    <cellStyle name="標準 7 3" xfId="41" xr:uid="{00000000-0005-0000-0000-000047000000}"/>
    <cellStyle name="標準 7 4" xfId="61" xr:uid="{00000000-0005-0000-0000-000048000000}"/>
    <cellStyle name="標準 8" xfId="20" xr:uid="{00000000-0005-0000-0000-000049000000}"/>
    <cellStyle name="標準 9" xfId="26" xr:uid="{00000000-0005-0000-0000-00004A000000}"/>
    <cellStyle name="標準 9 2" xfId="50" xr:uid="{00000000-0005-0000-0000-00004B000000}"/>
    <cellStyle name="標準 9 3" xfId="70" xr:uid="{00000000-0005-0000-0000-00004C000000}"/>
  </cellStyles>
  <dxfs count="190">
    <dxf>
      <font>
        <color rgb="FF777777"/>
      </font>
      <fill>
        <patternFill>
          <bgColor theme="0" tint="-0.499984740745262"/>
        </patternFill>
      </fill>
    </dxf>
    <dxf>
      <font>
        <color rgb="FF777777"/>
      </font>
      <fill>
        <patternFill>
          <bgColor theme="0" tint="-0.499984740745262"/>
        </patternFill>
      </fill>
    </dxf>
    <dxf>
      <font>
        <color rgb="FF777777"/>
      </font>
      <fill>
        <patternFill>
          <bgColor theme="1" tint="0.499984740745262"/>
        </patternFill>
      </fill>
    </dxf>
    <dxf>
      <font>
        <color rgb="FF777777"/>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0.499984740745262"/>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0" tint="-0.499984740745262"/>
        </patternFill>
      </fill>
    </dxf>
    <dxf>
      <font>
        <color rgb="FFFF0000"/>
      </font>
      <fill>
        <patternFill patternType="none">
          <bgColor auto="1"/>
        </patternFill>
      </fill>
    </dxf>
    <dxf>
      <font>
        <color rgb="FFFF0000"/>
      </font>
    </dxf>
    <dxf>
      <fill>
        <patternFill>
          <bgColor theme="0" tint="-0.499984740745262"/>
        </patternFill>
      </fill>
    </dxf>
    <dxf>
      <font>
        <color rgb="FFFF0000"/>
      </font>
      <fill>
        <patternFill patternType="none">
          <bgColor auto="1"/>
        </patternFill>
      </fill>
    </dxf>
    <dxf>
      <fill>
        <patternFill>
          <bgColor theme="0" tint="-0.499984740745262"/>
        </patternFill>
      </fill>
    </dxf>
    <dxf>
      <font>
        <color rgb="FFFF0000"/>
      </font>
      <fill>
        <patternFill patternType="none">
          <bgColor auto="1"/>
        </patternFill>
      </fill>
    </dxf>
    <dxf>
      <fill>
        <patternFill>
          <bgColor theme="0" tint="-0.499984740745262"/>
        </patternFill>
      </fill>
    </dxf>
    <dxf>
      <font>
        <color rgb="FFFF0000"/>
      </font>
    </dxf>
    <dxf>
      <font>
        <color rgb="FFFF0000"/>
      </font>
      <fill>
        <patternFill patternType="none">
          <bgColor auto="1"/>
        </patternFill>
      </fill>
    </dxf>
    <dxf>
      <font>
        <color auto="1"/>
      </font>
      <fill>
        <patternFill>
          <bgColor theme="0" tint="-0.499984740745262"/>
        </patternFill>
      </fill>
    </dxf>
    <dxf>
      <font>
        <color rgb="FFFF0000"/>
      </font>
      <fill>
        <patternFill patternType="none">
          <bgColor auto="1"/>
        </patternFill>
      </fill>
    </dxf>
    <dxf>
      <fill>
        <patternFill>
          <bgColor rgb="FFFFFF00"/>
        </patternFill>
      </fill>
    </dxf>
    <dxf>
      <font>
        <color auto="1"/>
      </font>
      <fill>
        <patternFill>
          <bgColor theme="0" tint="-0.499984740745262"/>
        </patternFill>
      </fill>
    </dxf>
    <dxf>
      <font>
        <color auto="1"/>
      </font>
      <fill>
        <patternFill>
          <bgColor theme="0" tint="-0.499984740745262"/>
        </patternFill>
      </fill>
    </dxf>
    <dxf>
      <fill>
        <patternFill>
          <bgColor rgb="FFFFFF00"/>
        </patternFill>
      </fill>
    </dxf>
    <dxf>
      <fill>
        <patternFill>
          <bgColor rgb="FFFFFF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alignment horizontal="center" vertical="center" textRotation="0" wrapText="0"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alignment horizontal="center" vertical="center"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alignment horizontal="left" vertical="center"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numFmt numFmtId="30" formatCode="@"/>
      <alignment horizontal="center" vertical="center"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alignment horizontal="center" vertical="center"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alignment horizontal="center" vertical="center" textRotation="0" wrapText="0" indent="0"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top style="thin">
          <color theme="0" tint="-0.14996795556505021"/>
        </top>
      </border>
    </dxf>
    <dxf>
      <border diagonalUp="0" diagonalDown="0">
        <left style="thin">
          <color theme="0" tint="-0.14996795556505021"/>
        </left>
        <right style="thin">
          <color theme="0" tint="-0.14996795556505021"/>
        </right>
        <top style="thin">
          <color theme="0" tint="-0.14996795556505021"/>
        </top>
        <bottom style="thin">
          <color theme="0" tint="-0.14996795556505021"/>
        </bottom>
      </border>
    </dxf>
    <dxf>
      <alignment horizontal="center" vertical="center" textRotation="0" wrapText="0" indent="0" justifyLastLine="0" shrinkToFit="0" readingOrder="0"/>
    </dxf>
    <dxf>
      <border>
        <bottom style="thin">
          <color theme="0" tint="-0.14996795556505021"/>
        </bottom>
      </border>
    </dxf>
    <dxf>
      <alignment horizontal="center" vertical="center" textRotation="0" wrapText="0" indent="0" justifyLastLine="0" shrinkToFit="0" readingOrder="0"/>
      <border diagonalUp="0" diagonalDown="0">
        <left style="thin">
          <color theme="0" tint="-0.14996795556505021"/>
        </left>
        <right style="thin">
          <color theme="0" tint="-0.14996795556505021"/>
        </right>
        <top/>
        <bottom/>
        <vertical style="thin">
          <color theme="0" tint="-0.14996795556505021"/>
        </vertical>
        <horizontal style="thin">
          <color theme="0" tint="-0.14996795556505021"/>
        </horizontal>
      </border>
    </dxf>
  </dxfs>
  <tableStyles count="0" defaultTableStyle="TableStyleMedium2" defaultPivotStyle="PivotStyleLight16"/>
  <colors>
    <mruColors>
      <color rgb="FFE91201"/>
      <color rgb="FFD91001"/>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351691</xdr:colOff>
      <xdr:row>4</xdr:row>
      <xdr:rowOff>7327</xdr:rowOff>
    </xdr:from>
    <xdr:to>
      <xdr:col>10</xdr:col>
      <xdr:colOff>376731</xdr:colOff>
      <xdr:row>10</xdr:row>
      <xdr:rowOff>505</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16672" y="974481"/>
          <a:ext cx="5534886" cy="14383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311363</xdr:colOff>
      <xdr:row>0</xdr:row>
      <xdr:rowOff>208493</xdr:rowOff>
    </xdr:from>
    <xdr:to>
      <xdr:col>8</xdr:col>
      <xdr:colOff>186057</xdr:colOff>
      <xdr:row>3</xdr:row>
      <xdr:rowOff>194734</xdr:rowOff>
    </xdr:to>
    <xdr:sp macro="" textlink="">
      <xdr:nvSpPr>
        <xdr:cNvPr id="2" name="吹き出し: 角を丸めた四角形 2">
          <a:extLst>
            <a:ext uri="{FF2B5EF4-FFF2-40B4-BE49-F238E27FC236}">
              <a16:creationId xmlns:a16="http://schemas.microsoft.com/office/drawing/2014/main" id="{00000000-0008-0000-0100-000002000000}"/>
            </a:ext>
          </a:extLst>
        </xdr:cNvPr>
        <xdr:cNvSpPr/>
      </xdr:nvSpPr>
      <xdr:spPr>
        <a:xfrm>
          <a:off x="7093163" y="208493"/>
          <a:ext cx="1766994" cy="883708"/>
        </a:xfrm>
        <a:prstGeom prst="wedgeRoundRectCallout">
          <a:avLst>
            <a:gd name="adj1" fmla="val -69132"/>
            <a:gd name="adj2" fmla="val -234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Meiryo UI" panose="020B0604030504040204" pitchFamily="50" charset="-128"/>
              <a:ea typeface="Meiryo UI" panose="020B0604030504040204" pitchFamily="50" charset="-128"/>
              <a:cs typeface="Meiryo UI" panose="020B0604030504040204" pitchFamily="50" charset="-128"/>
            </a:rPr>
            <a:t>一覧形式の場合に、その行がチェック対象か判定する列を設定</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190500</xdr:colOff>
      <xdr:row>24</xdr:row>
      <xdr:rowOff>0</xdr:rowOff>
    </xdr:from>
    <xdr:to>
      <xdr:col>26</xdr:col>
      <xdr:colOff>103909</xdr:colOff>
      <xdr:row>28</xdr:row>
      <xdr:rowOff>207818</xdr:rowOff>
    </xdr:to>
    <xdr:sp macro="" textlink="">
      <xdr:nvSpPr>
        <xdr:cNvPr id="2" name="角丸四角形吹き出し 1">
          <a:extLst>
            <a:ext uri="{FF2B5EF4-FFF2-40B4-BE49-F238E27FC236}">
              <a16:creationId xmlns:a16="http://schemas.microsoft.com/office/drawing/2014/main" id="{00000000-0008-0000-0200-000002000000}"/>
            </a:ext>
          </a:extLst>
        </xdr:cNvPr>
        <xdr:cNvSpPr/>
      </xdr:nvSpPr>
      <xdr:spPr>
        <a:xfrm>
          <a:off x="20920364" y="6477000"/>
          <a:ext cx="5022272" cy="1177636"/>
        </a:xfrm>
        <a:prstGeom prst="wedgeRoundRectCallout">
          <a:avLst>
            <a:gd name="adj1" fmla="val 58964"/>
            <a:gd name="adj2" fmla="val -15706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rgbClr val="002060"/>
              </a:solidFill>
            </a:rPr>
            <a:t>ロボット用のデフォルト設定票の追加をお願いいたします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31554</xdr:colOff>
      <xdr:row>0</xdr:row>
      <xdr:rowOff>98900</xdr:rowOff>
    </xdr:from>
    <xdr:to>
      <xdr:col>2</xdr:col>
      <xdr:colOff>931554</xdr:colOff>
      <xdr:row>0</xdr:row>
      <xdr:rowOff>293840</xdr:rowOff>
    </xdr:to>
    <xdr:sp macro="" textlink="">
      <xdr:nvSpPr>
        <xdr:cNvPr id="2" name="正方形/長方形 1">
          <a:extLst>
            <a:ext uri="{FF2B5EF4-FFF2-40B4-BE49-F238E27FC236}">
              <a16:creationId xmlns:a16="http://schemas.microsoft.com/office/drawing/2014/main" id="{00000000-0008-0000-0300-000002000000}"/>
            </a:ext>
          </a:extLst>
        </xdr:cNvPr>
        <xdr:cNvSpPr>
          <a:spLocks/>
        </xdr:cNvSpPr>
      </xdr:nvSpPr>
      <xdr:spPr>
        <a:xfrm>
          <a:off x="3163374" y="98900"/>
          <a:ext cx="900000" cy="1949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latin typeface="メイリオ" panose="020B0604030504040204" pitchFamily="50" charset="-128"/>
              <a:ea typeface="メイリオ" panose="020B0604030504040204" pitchFamily="50" charset="-128"/>
              <a:cs typeface="メイリオ" panose="020B0604030504040204" pitchFamily="50" charset="-128"/>
            </a:rPr>
            <a:t>フロント必須</a:t>
          </a:r>
          <a:endParaRPr kumimoji="1" lang="en-US" altLang="ja-JP" sz="900" b="1">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2</xdr:col>
      <xdr:colOff>1181100</xdr:colOff>
      <xdr:row>1</xdr:row>
      <xdr:rowOff>68580</xdr:rowOff>
    </xdr:from>
    <xdr:to>
      <xdr:col>2</xdr:col>
      <xdr:colOff>2081100</xdr:colOff>
      <xdr:row>1</xdr:row>
      <xdr:rowOff>263520</xdr:rowOff>
    </xdr:to>
    <xdr:sp macro="" textlink="">
      <xdr:nvSpPr>
        <xdr:cNvPr id="3" name="正方形/長方形 2">
          <a:extLst>
            <a:ext uri="{FF2B5EF4-FFF2-40B4-BE49-F238E27FC236}">
              <a16:creationId xmlns:a16="http://schemas.microsoft.com/office/drawing/2014/main" id="{00000000-0008-0000-0300-000003000000}"/>
            </a:ext>
          </a:extLst>
        </xdr:cNvPr>
        <xdr:cNvSpPr>
          <a:spLocks/>
        </xdr:cNvSpPr>
      </xdr:nvSpPr>
      <xdr:spPr>
        <a:xfrm>
          <a:off x="4312920" y="594360"/>
          <a:ext cx="900000" cy="19494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latin typeface="メイリオ" panose="020B0604030504040204" pitchFamily="50" charset="-128"/>
              <a:ea typeface="メイリオ" panose="020B0604030504040204" pitchFamily="50" charset="-128"/>
              <a:cs typeface="メイリオ" panose="020B0604030504040204" pitchFamily="50" charset="-128"/>
            </a:rPr>
            <a:t>コンサル必須</a:t>
          </a:r>
          <a:endParaRPr kumimoji="1" lang="en-US" altLang="ja-JP" sz="900" b="1">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1</xdr:col>
          <xdr:colOff>38100</xdr:colOff>
          <xdr:row>0</xdr:row>
          <xdr:rowOff>333375</xdr:rowOff>
        </xdr:from>
        <xdr:to>
          <xdr:col>1</xdr:col>
          <xdr:colOff>771525</xdr:colOff>
          <xdr:row>1</xdr:row>
          <xdr:rowOff>209550</xdr:rowOff>
        </xdr:to>
        <xdr:sp macro="" textlink="">
          <xdr:nvSpPr>
            <xdr:cNvPr id="10241" name="Button 8"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000" b="0" i="0" u="none" strike="noStrike" baseline="0">
                  <a:solidFill>
                    <a:srgbClr val="000000"/>
                  </a:solidFill>
                  <a:latin typeface="メイリオ"/>
                  <a:ea typeface="メイリオ"/>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952500</xdr:colOff>
          <xdr:row>1</xdr:row>
          <xdr:rowOff>57150</xdr:rowOff>
        </xdr:from>
        <xdr:to>
          <xdr:col>1</xdr:col>
          <xdr:colOff>2571750</xdr:colOff>
          <xdr:row>1</xdr:row>
          <xdr:rowOff>438150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FF"/>
                  </a:solidFill>
                  <a:latin typeface="メイリオ"/>
                  <a:ea typeface="メイリオ"/>
                </a:rPr>
                <a:t>コンサル必須チェック</a:t>
              </a:r>
            </a:p>
          </xdr:txBody>
        </xdr:sp>
        <xdr:clientData fPrintsWithSheet="0"/>
      </xdr:twoCellAnchor>
    </mc:Choice>
    <mc:Fallback/>
  </mc:AlternateContent>
  <xdr:twoCellAnchor>
    <xdr:from>
      <xdr:col>2</xdr:col>
      <xdr:colOff>39174</xdr:colOff>
      <xdr:row>1</xdr:row>
      <xdr:rowOff>60800</xdr:rowOff>
    </xdr:from>
    <xdr:to>
      <xdr:col>2</xdr:col>
      <xdr:colOff>939174</xdr:colOff>
      <xdr:row>1</xdr:row>
      <xdr:rowOff>255740</xdr:rowOff>
    </xdr:to>
    <xdr:sp macro="" textlink="">
      <xdr:nvSpPr>
        <xdr:cNvPr id="6" name="正方形/長方形 5">
          <a:extLst>
            <a:ext uri="{FF2B5EF4-FFF2-40B4-BE49-F238E27FC236}">
              <a16:creationId xmlns:a16="http://schemas.microsoft.com/office/drawing/2014/main" id="{00000000-0008-0000-0300-000006000000}"/>
            </a:ext>
          </a:extLst>
        </xdr:cNvPr>
        <xdr:cNvSpPr>
          <a:spLocks/>
        </xdr:cNvSpPr>
      </xdr:nvSpPr>
      <xdr:spPr>
        <a:xfrm>
          <a:off x="3170994" y="586580"/>
          <a:ext cx="900000" cy="1949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latin typeface="メイリオ" panose="020B0604030504040204" pitchFamily="50" charset="-128"/>
              <a:ea typeface="メイリオ" panose="020B0604030504040204" pitchFamily="50" charset="-128"/>
              <a:cs typeface="メイリオ" panose="020B0604030504040204" pitchFamily="50" charset="-128"/>
            </a:rPr>
            <a:t>フロント必須</a:t>
          </a:r>
          <a:endParaRPr kumimoji="1" lang="en-US" altLang="ja-JP" sz="900" b="1">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1</xdr:col>
          <xdr:colOff>971550</xdr:colOff>
          <xdr:row>0</xdr:row>
          <xdr:rowOff>76200</xdr:rowOff>
        </xdr:from>
        <xdr:to>
          <xdr:col>1</xdr:col>
          <xdr:colOff>2571750</xdr:colOff>
          <xdr:row>0</xdr:row>
          <xdr:rowOff>457200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1100" b="0" i="0" u="none" strike="noStrike" baseline="0">
                  <a:solidFill>
                    <a:srgbClr val="FF0000"/>
                  </a:solidFill>
                  <a:latin typeface="メイリオ"/>
                  <a:ea typeface="メイリオ"/>
                </a:rPr>
                <a:t>フロント必須チェック</a:t>
              </a:r>
            </a:p>
          </xdr:txBody>
        </xdr:sp>
        <xdr:clientData fPrintsWithSheet="0"/>
      </xdr:twoCellAnchor>
    </mc:Choice>
    <mc:Fallback/>
  </mc:AlternateContent>
  <xdr:twoCellAnchor>
    <xdr:from>
      <xdr:col>2</xdr:col>
      <xdr:colOff>944880</xdr:colOff>
      <xdr:row>1</xdr:row>
      <xdr:rowOff>30480</xdr:rowOff>
    </xdr:from>
    <xdr:to>
      <xdr:col>2</xdr:col>
      <xdr:colOff>1181100</xdr:colOff>
      <xdr:row>1</xdr:row>
      <xdr:rowOff>297180</xdr:rowOff>
    </xdr:to>
    <xdr:sp macro="" textlink="">
      <xdr:nvSpPr>
        <xdr:cNvPr id="8" name="テキスト ボックス 7">
          <a:extLst>
            <a:ext uri="{FF2B5EF4-FFF2-40B4-BE49-F238E27FC236}">
              <a16:creationId xmlns:a16="http://schemas.microsoft.com/office/drawing/2014/main" id="{00000000-0008-0000-0300-000008000000}"/>
            </a:ext>
          </a:extLst>
        </xdr:cNvPr>
        <xdr:cNvSpPr txBox="1"/>
      </xdr:nvSpPr>
      <xdr:spPr>
        <a:xfrm>
          <a:off x="4076700" y="556260"/>
          <a:ext cx="2362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2</xdr:row>
          <xdr:rowOff>123825</xdr:rowOff>
        </xdr:from>
        <xdr:to>
          <xdr:col>2</xdr:col>
          <xdr:colOff>1009650</xdr:colOff>
          <xdr:row>2</xdr:row>
          <xdr:rowOff>495300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C00-0000039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レスポンシブ検索(β) ※入稿用へ転記</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342900</xdr:colOff>
          <xdr:row>1</xdr:row>
          <xdr:rowOff>38100</xdr:rowOff>
        </xdr:from>
        <xdr:to>
          <xdr:col>1</xdr:col>
          <xdr:colOff>1000125</xdr:colOff>
          <xdr:row>2</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ターゲティング（関連付け）へ転記</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142875</xdr:colOff>
      <xdr:row>6</xdr:row>
      <xdr:rowOff>66207</xdr:rowOff>
    </xdr:from>
    <xdr:to>
      <xdr:col>1</xdr:col>
      <xdr:colOff>538729</xdr:colOff>
      <xdr:row>7</xdr:row>
      <xdr:rowOff>208207</xdr:rowOff>
    </xdr:to>
    <xdr:pic>
      <xdr:nvPicPr>
        <xdr:cNvPr id="2" name="irc_mi" descr="画像検索結果">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4875" y="1056807"/>
          <a:ext cx="395854" cy="389650"/>
        </a:xfrm>
        <a:prstGeom prst="rect">
          <a:avLst/>
        </a:prstGeom>
        <a:noFill/>
        <a:ln w="6350">
          <a:solidFill>
            <a:srgbClr val="00B05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139390</xdr:colOff>
      <xdr:row>6</xdr:row>
      <xdr:rowOff>63500</xdr:rowOff>
    </xdr:from>
    <xdr:to>
      <xdr:col>7</xdr:col>
      <xdr:colOff>523875</xdr:colOff>
      <xdr:row>7</xdr:row>
      <xdr:rowOff>203597</xdr:rowOff>
    </xdr:to>
    <xdr:pic>
      <xdr:nvPicPr>
        <xdr:cNvPr id="3" name="irc_mi" descr="「yahoo」の画像検索結果">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26290" y="1054100"/>
          <a:ext cx="384485" cy="3877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1</xdr:row>
      <xdr:rowOff>60960</xdr:rowOff>
    </xdr:from>
    <xdr:to>
      <xdr:col>11</xdr:col>
      <xdr:colOff>388620</xdr:colOff>
      <xdr:row>4</xdr:row>
      <xdr:rowOff>297180</xdr:rowOff>
    </xdr:to>
    <xdr:sp macro="" textlink="">
      <xdr:nvSpPr>
        <xdr:cNvPr id="2" name="正方形/長方形 1">
          <a:extLst>
            <a:ext uri="{FF2B5EF4-FFF2-40B4-BE49-F238E27FC236}">
              <a16:creationId xmlns:a16="http://schemas.microsoft.com/office/drawing/2014/main" id="{00000000-0008-0000-1900-000002000000}"/>
            </a:ext>
          </a:extLst>
        </xdr:cNvPr>
        <xdr:cNvSpPr/>
      </xdr:nvSpPr>
      <xdr:spPr>
        <a:xfrm>
          <a:off x="9715500" y="137160"/>
          <a:ext cx="3741420" cy="12649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このシートの目的は、ロボットが効率的に稼働するため、記載のあるシートを特定するために利用しています。</a:t>
          </a:r>
          <a:endParaRPr kumimoji="1" lang="en-US" altLang="ja-JP" sz="1100"/>
        </a:p>
        <a:p>
          <a:pPr algn="l"/>
          <a:r>
            <a:rPr kumimoji="1" lang="ja-JP" altLang="en-US" sz="1100"/>
            <a:t>記載があるシートには</a:t>
          </a:r>
          <a:r>
            <a:rPr kumimoji="1" lang="en-US" altLang="ja-JP" sz="1100"/>
            <a:t>"</a:t>
          </a:r>
          <a:r>
            <a:rPr kumimoji="1" lang="ja-JP" altLang="en-US" sz="1100"/>
            <a:t>〇</a:t>
          </a:r>
          <a:r>
            <a:rPr kumimoji="1" lang="en-US" altLang="ja-JP" sz="1100"/>
            <a:t>"</a:t>
          </a:r>
          <a:r>
            <a:rPr kumimoji="1" lang="ja-JP" altLang="en-US" sz="1100"/>
            <a:t>になります。</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記載があるかどうかの判断は、</a:t>
          </a:r>
          <a:r>
            <a:rPr kumimoji="0" lang="en-US" altLang="ja-JP" sz="1100" b="0" i="0" u="none" strike="noStrike">
              <a:solidFill>
                <a:schemeClr val="lt1"/>
              </a:solidFill>
              <a:effectLst/>
              <a:latin typeface="+mn-lt"/>
              <a:ea typeface="+mn-ea"/>
              <a:cs typeface="+mn-cs"/>
            </a:rPr>
            <a:t>D</a:t>
          </a:r>
          <a:r>
            <a:rPr kumimoji="0" lang="ja-JP" altLang="en-US" sz="1100" b="0" i="0" u="none" strike="noStrike">
              <a:solidFill>
                <a:schemeClr val="lt1"/>
              </a:solidFill>
              <a:effectLst/>
              <a:latin typeface="+mn-lt"/>
              <a:ea typeface="+mn-ea"/>
              <a:cs typeface="+mn-cs"/>
            </a:rPr>
            <a:t>列に記載しています</a:t>
          </a:r>
          <a:endParaRPr lang="en-US" altLang="ja-JP" sz="1100" b="0" i="0" u="none" strike="noStrike">
            <a:solidFill>
              <a:schemeClr val="lt1"/>
            </a:solidFill>
            <a:effectLst/>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56032</xdr:colOff>
      <xdr:row>11</xdr:row>
      <xdr:rowOff>134471</xdr:rowOff>
    </xdr:from>
    <xdr:to>
      <xdr:col>9</xdr:col>
      <xdr:colOff>71437</xdr:colOff>
      <xdr:row>31</xdr:row>
      <xdr:rowOff>23814</xdr:rowOff>
    </xdr:to>
    <xdr:sp macro="" textlink="">
      <xdr:nvSpPr>
        <xdr:cNvPr id="2" name="下矢印 1">
          <a:extLst>
            <a:ext uri="{FF2B5EF4-FFF2-40B4-BE49-F238E27FC236}">
              <a16:creationId xmlns:a16="http://schemas.microsoft.com/office/drawing/2014/main" id="{00000000-0008-0000-1A00-000002000000}"/>
            </a:ext>
          </a:extLst>
        </xdr:cNvPr>
        <xdr:cNvSpPr/>
      </xdr:nvSpPr>
      <xdr:spPr>
        <a:xfrm rot="16200000">
          <a:off x="3757613" y="9015415"/>
          <a:ext cx="12757618" cy="1167930"/>
        </a:xfrm>
        <a:prstGeom prst="down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変更履歴" displayName="変更履歴" ref="A4:G81" totalsRowShown="0" headerRowDxfId="189" dataDxfId="187" headerRowBorderDxfId="188" tableBorderDxfId="186" totalsRowBorderDxfId="185">
  <tableColumns count="7">
    <tableColumn id="1" xr3:uid="{00000000-0010-0000-0000-000001000000}" name="日付" dataDxfId="184"/>
    <tableColumn id="2" xr3:uid="{00000000-0010-0000-0000-000002000000}" name="変更種別" dataDxfId="183"/>
    <tableColumn id="8" xr3:uid="{00000000-0010-0000-0000-000008000000}" name="Ver.管理" dataDxfId="182"/>
    <tableColumn id="3" xr3:uid="{00000000-0010-0000-0000-000003000000}" name="対象シート名" dataDxfId="181"/>
    <tableColumn id="4" xr3:uid="{00000000-0010-0000-0000-000004000000}" name="変更内容（詳細）" dataDxfId="180"/>
    <tableColumn id="5" xr3:uid="{00000000-0010-0000-0000-000005000000}" name="作成者" dataDxfId="179"/>
    <tableColumn id="6" xr3:uid="{00000000-0010-0000-0000-000006000000}" name="承認者" dataDxfId="178"/>
  </tableColumns>
  <tableStyleInfo name="TableStyleDark3"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9.bin"/><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hyperlink" Target="mailto:WC_tantou@dentsudigital.co.jp" TargetMode="External"/><Relationship Id="rId1" Type="http://schemas.openxmlformats.org/officeDocument/2006/relationships/hyperlink" Target="mailto:DOP_tantou@dentsudigital.co.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M17"/>
  <sheetViews>
    <sheetView showGridLines="0" tabSelected="1" view="pageBreakPreview" zoomScale="85" zoomScaleNormal="100" zoomScaleSheetLayoutView="85" workbookViewId="0"/>
  </sheetViews>
  <sheetFormatPr defaultColWidth="8.88671875" defaultRowHeight="18.75"/>
  <cols>
    <col min="1" max="1" width="5.5546875" style="32" customWidth="1"/>
    <col min="2" max="12" width="8" style="32" customWidth="1"/>
    <col min="13" max="13" width="5.5546875" style="32" customWidth="1"/>
    <col min="14" max="16384" width="8.88671875" style="32"/>
  </cols>
  <sheetData>
    <row r="1" spans="1:13">
      <c r="A1" s="54"/>
      <c r="B1" s="54"/>
      <c r="C1" s="54"/>
      <c r="D1" s="54"/>
      <c r="E1" s="54"/>
      <c r="F1" s="54"/>
      <c r="G1" s="54"/>
      <c r="H1" s="54"/>
      <c r="I1" s="54"/>
      <c r="J1" s="54"/>
      <c r="K1" s="54"/>
      <c r="L1" s="54"/>
      <c r="M1" s="54"/>
    </row>
    <row r="2" spans="1:13">
      <c r="A2" s="54"/>
      <c r="B2" s="54"/>
      <c r="C2" s="54"/>
      <c r="D2" s="54"/>
      <c r="E2" s="54"/>
      <c r="F2" s="54"/>
      <c r="G2" s="54"/>
      <c r="H2" s="54"/>
      <c r="I2" s="54"/>
      <c r="J2" s="54"/>
      <c r="K2" s="54"/>
      <c r="L2" s="54"/>
      <c r="M2" s="54"/>
    </row>
    <row r="3" spans="1:13">
      <c r="A3" s="54"/>
      <c r="B3" s="54"/>
      <c r="C3" s="54"/>
      <c r="D3" s="54"/>
      <c r="E3" s="54"/>
      <c r="F3" s="54"/>
      <c r="G3" s="54"/>
      <c r="H3" s="54"/>
      <c r="I3" s="54"/>
      <c r="J3" s="54"/>
      <c r="K3" s="54"/>
      <c r="L3" s="54"/>
      <c r="M3" s="54"/>
    </row>
    <row r="4" spans="1:13">
      <c r="A4" s="54"/>
      <c r="B4" s="54"/>
      <c r="C4" s="54"/>
      <c r="D4" s="54"/>
      <c r="E4" s="54"/>
      <c r="F4" s="54"/>
      <c r="G4" s="54"/>
      <c r="H4" s="54"/>
      <c r="I4" s="54"/>
      <c r="J4" s="54"/>
      <c r="K4" s="54"/>
      <c r="L4" s="54"/>
      <c r="M4" s="54"/>
    </row>
    <row r="5" spans="1:13">
      <c r="A5" s="54"/>
      <c r="B5" s="54"/>
      <c r="C5" s="54"/>
      <c r="D5" s="54"/>
      <c r="E5" s="54"/>
      <c r="F5" s="54"/>
      <c r="G5" s="54"/>
      <c r="H5" s="54"/>
      <c r="I5" s="54"/>
      <c r="J5" s="54"/>
      <c r="K5" s="54"/>
      <c r="L5" s="54"/>
      <c r="M5" s="54"/>
    </row>
    <row r="6" spans="1:13">
      <c r="A6" s="54"/>
      <c r="B6" s="54"/>
      <c r="C6" s="54"/>
      <c r="D6" s="54"/>
      <c r="E6" s="54"/>
      <c r="F6" s="54"/>
      <c r="G6" s="54"/>
      <c r="H6" s="54"/>
      <c r="I6" s="54"/>
      <c r="J6" s="54"/>
      <c r="K6" s="54"/>
      <c r="L6" s="54"/>
      <c r="M6" s="54"/>
    </row>
    <row r="7" spans="1:13">
      <c r="A7" s="54"/>
      <c r="B7" s="54"/>
      <c r="C7" s="54"/>
      <c r="D7" s="54"/>
      <c r="E7" s="54"/>
      <c r="F7" s="54"/>
      <c r="G7" s="54"/>
      <c r="H7" s="54"/>
      <c r="I7" s="54"/>
      <c r="J7" s="54"/>
      <c r="K7" s="54"/>
      <c r="L7" s="54"/>
      <c r="M7" s="54"/>
    </row>
    <row r="8" spans="1:13">
      <c r="A8" s="54"/>
      <c r="B8" s="54"/>
      <c r="C8" s="54"/>
      <c r="D8" s="54"/>
      <c r="E8" s="54"/>
      <c r="F8" s="54"/>
      <c r="G8" s="54"/>
      <c r="H8" s="54"/>
      <c r="I8" s="54"/>
      <c r="J8" s="54"/>
      <c r="K8" s="54"/>
      <c r="L8" s="54"/>
      <c r="M8" s="54"/>
    </row>
    <row r="9" spans="1:13">
      <c r="A9" s="54"/>
      <c r="B9" s="54"/>
      <c r="C9" s="54"/>
      <c r="D9" s="54"/>
      <c r="E9" s="54"/>
      <c r="F9" s="54"/>
      <c r="G9" s="54"/>
      <c r="H9" s="54"/>
      <c r="I9" s="54"/>
      <c r="J9" s="54"/>
      <c r="K9" s="54"/>
      <c r="L9" s="54"/>
      <c r="M9" s="54"/>
    </row>
    <row r="10" spans="1:13">
      <c r="A10" s="54"/>
      <c r="B10" s="54"/>
      <c r="C10" s="54"/>
      <c r="D10" s="54"/>
      <c r="E10" s="54"/>
      <c r="F10" s="54"/>
      <c r="G10" s="54"/>
      <c r="H10" s="54"/>
      <c r="I10" s="54"/>
      <c r="J10" s="54"/>
      <c r="K10" s="54"/>
      <c r="L10" s="54"/>
      <c r="M10" s="54"/>
    </row>
    <row r="11" spans="1:13">
      <c r="A11" s="54"/>
      <c r="B11" s="54"/>
      <c r="C11" s="54"/>
      <c r="D11" s="54"/>
      <c r="E11" s="54"/>
      <c r="F11" s="54"/>
      <c r="G11" s="54"/>
      <c r="H11" s="54"/>
      <c r="I11" s="54"/>
      <c r="J11" s="54"/>
      <c r="K11" s="54"/>
      <c r="L11" s="54"/>
      <c r="M11" s="54"/>
    </row>
    <row r="12" spans="1:13">
      <c r="A12" s="54"/>
      <c r="B12" s="54"/>
      <c r="C12" s="54"/>
      <c r="D12" s="54"/>
      <c r="E12" s="54"/>
      <c r="F12" s="54"/>
      <c r="G12" s="54"/>
      <c r="H12" s="54"/>
      <c r="I12" s="54"/>
      <c r="J12" s="54"/>
      <c r="K12" s="54"/>
      <c r="L12" s="54"/>
      <c r="M12" s="54"/>
    </row>
    <row r="13" spans="1:13">
      <c r="A13" s="54"/>
      <c r="B13" s="54"/>
      <c r="C13" s="54"/>
      <c r="D13" s="54"/>
      <c r="E13" s="54"/>
      <c r="F13" s="54"/>
      <c r="G13" s="54"/>
      <c r="H13" s="54"/>
      <c r="I13" s="54"/>
      <c r="J13" s="54"/>
      <c r="K13" s="54"/>
      <c r="L13" s="54"/>
      <c r="M13" s="54"/>
    </row>
    <row r="14" spans="1:13">
      <c r="B14" s="461" t="str">
        <f>"公式依頼FMT_サーチ（Yahoo・Google）_Ver."&amp;変更履歴!$B$1</f>
        <v>公式依頼FMT_サーチ（Yahoo・Google）_Ver.10.1</v>
      </c>
      <c r="C14" s="461"/>
      <c r="D14" s="461"/>
      <c r="E14" s="461"/>
      <c r="F14" s="461"/>
      <c r="G14" s="461"/>
      <c r="H14" s="461"/>
      <c r="I14" s="461"/>
      <c r="J14" s="461"/>
      <c r="K14" s="461"/>
      <c r="L14" s="461"/>
    </row>
    <row r="15" spans="1:13">
      <c r="B15" s="461"/>
      <c r="C15" s="461"/>
      <c r="D15" s="461"/>
      <c r="E15" s="461"/>
      <c r="F15" s="461"/>
      <c r="G15" s="461"/>
      <c r="H15" s="461"/>
      <c r="I15" s="461"/>
      <c r="J15" s="461"/>
      <c r="K15" s="461"/>
      <c r="L15" s="461"/>
    </row>
    <row r="16" spans="1:13">
      <c r="B16" s="461"/>
      <c r="C16" s="461"/>
      <c r="D16" s="461"/>
      <c r="E16" s="461"/>
      <c r="F16" s="461"/>
      <c r="G16" s="461"/>
      <c r="H16" s="461"/>
      <c r="I16" s="461"/>
      <c r="J16" s="461"/>
      <c r="K16" s="461"/>
      <c r="L16" s="461"/>
    </row>
    <row r="17" spans="2:2">
      <c r="B17" s="53" t="s">
        <v>228</v>
      </c>
    </row>
  </sheetData>
  <mergeCells count="1">
    <mergeCell ref="B14:L16"/>
  </mergeCells>
  <phoneticPr fontId="20"/>
  <pageMargins left="0.7" right="0.7" top="0.75" bottom="0.75" header="0.3" footer="0.3"/>
  <pageSetup paperSize="9" scale="6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B2:E8"/>
  <sheetViews>
    <sheetView zoomScale="85" zoomScaleNormal="85" workbookViewId="0"/>
  </sheetViews>
  <sheetFormatPr defaultColWidth="7.44140625" defaultRowHeight="18.75"/>
  <cols>
    <col min="1" max="1" width="2.5546875" style="288" customWidth="1"/>
    <col min="2" max="2" width="23.77734375" style="288" customWidth="1"/>
    <col min="3" max="4" width="19.77734375" style="288" customWidth="1"/>
    <col min="5" max="5" width="14.21875" style="288" customWidth="1"/>
    <col min="6" max="16384" width="7.44140625" style="288"/>
  </cols>
  <sheetData>
    <row r="2" spans="2:5" ht="37.5">
      <c r="B2" s="286" t="s">
        <v>1446</v>
      </c>
      <c r="C2" s="287" t="s">
        <v>1447</v>
      </c>
      <c r="D2" s="287" t="s">
        <v>1448</v>
      </c>
      <c r="E2" s="287" t="s">
        <v>1968</v>
      </c>
    </row>
    <row r="3" spans="2:5">
      <c r="B3" s="289" t="s">
        <v>1449</v>
      </c>
      <c r="C3" s="290" t="s">
        <v>1450</v>
      </c>
      <c r="D3" s="290" t="s">
        <v>1450</v>
      </c>
      <c r="E3" s="302" t="s">
        <v>1037</v>
      </c>
    </row>
    <row r="4" spans="2:5">
      <c r="B4" s="289" t="s">
        <v>28</v>
      </c>
      <c r="C4" s="302" t="s">
        <v>1534</v>
      </c>
      <c r="D4" s="302" t="s">
        <v>1534</v>
      </c>
      <c r="E4" s="302">
        <v>6</v>
      </c>
    </row>
    <row r="5" spans="2:5">
      <c r="B5" s="289" t="s">
        <v>1451</v>
      </c>
      <c r="C5" s="302" t="s">
        <v>1533</v>
      </c>
      <c r="D5" s="302" t="s">
        <v>1534</v>
      </c>
      <c r="E5" s="302">
        <v>6</v>
      </c>
    </row>
    <row r="6" spans="2:5">
      <c r="B6" s="351" t="s">
        <v>1889</v>
      </c>
      <c r="C6" s="302" t="s">
        <v>1534</v>
      </c>
      <c r="D6" s="302" t="s">
        <v>1534</v>
      </c>
      <c r="E6" s="302">
        <v>6</v>
      </c>
    </row>
    <row r="7" spans="2:5">
      <c r="B7" s="351" t="s">
        <v>1782</v>
      </c>
      <c r="C7" s="302" t="s">
        <v>1040</v>
      </c>
      <c r="D7" s="302" t="s">
        <v>1040</v>
      </c>
      <c r="E7" s="302">
        <v>6</v>
      </c>
    </row>
    <row r="8" spans="2:5">
      <c r="B8" s="306" t="s">
        <v>1452</v>
      </c>
      <c r="C8" s="292"/>
      <c r="D8" s="292"/>
    </row>
  </sheetData>
  <phoneticPr fontId="2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B2:AD23"/>
  <sheetViews>
    <sheetView showGridLines="0" view="pageBreakPreview" zoomScale="85" zoomScaleNormal="85" zoomScaleSheetLayoutView="85" workbookViewId="0"/>
  </sheetViews>
  <sheetFormatPr defaultColWidth="8.88671875" defaultRowHeight="18.75"/>
  <cols>
    <col min="1" max="1" width="3.6640625" customWidth="1"/>
    <col min="2" max="2" width="31.109375" customWidth="1"/>
    <col min="3" max="3" width="52.77734375" customWidth="1"/>
    <col min="4" max="5" width="70.77734375" customWidth="1"/>
    <col min="7" max="9" width="4.109375" customWidth="1"/>
    <col min="10" max="26" width="3" customWidth="1"/>
    <col min="27" max="27" width="38.33203125" bestFit="1" customWidth="1"/>
    <col min="28" max="28" width="35.44140625" bestFit="1" customWidth="1"/>
    <col min="29" max="29" width="80.33203125" bestFit="1" customWidth="1"/>
    <col min="30" max="30" width="115.88671875" bestFit="1" customWidth="1"/>
  </cols>
  <sheetData>
    <row r="2" spans="2:30" ht="33">
      <c r="B2" s="49" t="s">
        <v>380</v>
      </c>
      <c r="AA2" s="49" t="s">
        <v>1790</v>
      </c>
    </row>
    <row r="4" spans="2:30">
      <c r="D4" s="45" t="s">
        <v>575</v>
      </c>
      <c r="AC4" s="45" t="s">
        <v>575</v>
      </c>
    </row>
    <row r="6" spans="2:30">
      <c r="B6" s="51"/>
      <c r="C6" s="52" t="s">
        <v>229</v>
      </c>
      <c r="D6" s="52" t="s">
        <v>230</v>
      </c>
      <c r="E6" s="52" t="s">
        <v>231</v>
      </c>
      <c r="AA6" s="336" t="s">
        <v>1791</v>
      </c>
      <c r="AB6" s="52" t="s">
        <v>1792</v>
      </c>
      <c r="AC6" s="52" t="s">
        <v>1793</v>
      </c>
      <c r="AD6" s="52" t="s">
        <v>1794</v>
      </c>
    </row>
    <row r="7" spans="2:30">
      <c r="B7" s="327" t="s">
        <v>381</v>
      </c>
      <c r="C7" s="46" t="s">
        <v>96</v>
      </c>
      <c r="D7" s="46" t="s">
        <v>382</v>
      </c>
      <c r="E7" s="46" t="s">
        <v>689</v>
      </c>
      <c r="AA7" s="337" t="s">
        <v>28</v>
      </c>
      <c r="AB7" s="46" t="s">
        <v>96</v>
      </c>
      <c r="AC7" s="46" t="str">
        <f>D7</f>
        <v>標準キャンペーン</v>
      </c>
      <c r="AD7" s="46" t="str">
        <f>E7</f>
        <v>検索</v>
      </c>
    </row>
    <row r="8" spans="2:30" ht="37.5">
      <c r="B8" s="332" t="s">
        <v>1787</v>
      </c>
      <c r="C8" s="176" t="s">
        <v>707</v>
      </c>
      <c r="D8" s="46" t="s">
        <v>383</v>
      </c>
      <c r="E8" s="46" t="s">
        <v>690</v>
      </c>
      <c r="AA8" s="337" t="s">
        <v>28</v>
      </c>
      <c r="AB8" s="176" t="s">
        <v>1795</v>
      </c>
      <c r="AC8" s="46" t="str">
        <f t="shared" ref="AC8:AC23" si="0">D8</f>
        <v>検索を含むすべての広告掲載方式</v>
      </c>
      <c r="AD8" s="46" t="str">
        <f t="shared" ref="AD8:AD23" si="1">E8</f>
        <v>有効</v>
      </c>
    </row>
    <row r="9" spans="2:30">
      <c r="B9" s="332" t="s">
        <v>1787</v>
      </c>
      <c r="C9" s="46" t="s">
        <v>11</v>
      </c>
      <c r="D9" s="177" t="s">
        <v>708</v>
      </c>
      <c r="E9" s="177" t="s">
        <v>708</v>
      </c>
      <c r="AA9" s="337" t="s">
        <v>28</v>
      </c>
      <c r="AB9" s="46" t="s">
        <v>11</v>
      </c>
      <c r="AC9" s="46" t="str">
        <f t="shared" si="0"/>
        <v>PC｜タブレット｜スマートフォン</v>
      </c>
      <c r="AD9" s="46" t="str">
        <f t="shared" si="1"/>
        <v>PC｜タブレット｜スマートフォン</v>
      </c>
    </row>
    <row r="10" spans="2:30">
      <c r="B10" s="332" t="s">
        <v>1787</v>
      </c>
      <c r="C10" s="46" t="s">
        <v>384</v>
      </c>
      <c r="D10" s="46" t="s">
        <v>385</v>
      </c>
      <c r="E10" s="46" t="s">
        <v>385</v>
      </c>
      <c r="AA10" s="337" t="s">
        <v>28</v>
      </c>
      <c r="AB10" s="46" t="s">
        <v>384</v>
      </c>
      <c r="AC10" s="46" t="str">
        <f t="shared" si="0"/>
        <v>無効（CVタグ発行案件は有効）</v>
      </c>
      <c r="AD10" s="46" t="str">
        <f t="shared" si="1"/>
        <v>無効（CVタグ発行案件は有効）</v>
      </c>
    </row>
    <row r="11" spans="2:30">
      <c r="B11" s="332" t="s">
        <v>1787</v>
      </c>
      <c r="C11" s="46" t="s">
        <v>386</v>
      </c>
      <c r="D11" s="46" t="s">
        <v>691</v>
      </c>
      <c r="E11" s="46" t="s">
        <v>691</v>
      </c>
      <c r="AA11" s="337" t="s">
        <v>28</v>
      </c>
      <c r="AB11" s="46" t="s">
        <v>386</v>
      </c>
      <c r="AC11" s="46" t="str">
        <f t="shared" si="0"/>
        <v>個別クリック単価</v>
      </c>
      <c r="AD11" s="46" t="str">
        <f t="shared" si="1"/>
        <v>個別クリック単価</v>
      </c>
    </row>
    <row r="12" spans="2:30">
      <c r="B12" s="332" t="s">
        <v>1787</v>
      </c>
      <c r="C12" s="46" t="s">
        <v>387</v>
      </c>
      <c r="D12" s="46" t="s">
        <v>388</v>
      </c>
      <c r="E12" s="46" t="s">
        <v>388</v>
      </c>
      <c r="AA12" s="337" t="s">
        <v>28</v>
      </c>
      <c r="AB12" s="46" t="s">
        <v>387</v>
      </c>
      <c r="AC12" s="46" t="str">
        <f t="shared" si="0"/>
        <v>日本</v>
      </c>
      <c r="AD12" s="46" t="str">
        <f t="shared" si="1"/>
        <v>日本</v>
      </c>
    </row>
    <row r="13" spans="2:30">
      <c r="B13" s="332" t="s">
        <v>1787</v>
      </c>
      <c r="C13" s="79" t="s">
        <v>389</v>
      </c>
      <c r="D13" s="47" t="s">
        <v>390</v>
      </c>
      <c r="E13" s="78" t="s">
        <v>391</v>
      </c>
      <c r="AA13" s="337" t="s">
        <v>28</v>
      </c>
      <c r="AB13" s="79" t="s">
        <v>389</v>
      </c>
      <c r="AC13" s="46" t="str">
        <f t="shared" si="0"/>
        <v>-</v>
      </c>
      <c r="AD13" s="46" t="str">
        <f t="shared" si="1"/>
        <v>日本語</v>
      </c>
    </row>
    <row r="14" spans="2:30">
      <c r="B14" s="332" t="s">
        <v>1787</v>
      </c>
      <c r="C14" s="79" t="s">
        <v>392</v>
      </c>
      <c r="D14" s="178" t="s">
        <v>1869</v>
      </c>
      <c r="E14" s="79" t="s">
        <v>344</v>
      </c>
      <c r="AA14" s="337" t="s">
        <v>28</v>
      </c>
      <c r="AB14" s="79" t="s">
        <v>392</v>
      </c>
      <c r="AC14" s="46" t="str">
        <f t="shared" si="0"/>
        <v>配信設定なしまたはユーザーの所在地、検索キーワードに含まれる地域、ユーザーが関心を示している地域</v>
      </c>
      <c r="AD14" s="46" t="str">
        <f t="shared" si="1"/>
        <v>ターゲット地域にいるユーザー、ターゲット地域に関する情報を検索しているユーザー、またはターゲット地域に関心を示しているユーザー</v>
      </c>
    </row>
    <row r="15" spans="2:30">
      <c r="B15" s="332" t="s">
        <v>1787</v>
      </c>
      <c r="C15" s="46" t="s">
        <v>393</v>
      </c>
      <c r="D15" s="178" t="s">
        <v>678</v>
      </c>
      <c r="E15" s="46" t="s">
        <v>345</v>
      </c>
      <c r="AA15" s="337" t="s">
        <v>28</v>
      </c>
      <c r="AB15" s="46" t="s">
        <v>393</v>
      </c>
      <c r="AC15" s="46" t="str">
        <f t="shared" si="0"/>
        <v>ユーザーの所在地、検索キーワードに含まれる地域、ユーザーが関心を示している地域</v>
      </c>
      <c r="AD15" s="46" t="str">
        <f t="shared" si="1"/>
        <v>除外地域にいるユーザー、除外地域に関する情報を検索しているユーザー、または除外地域に関心を示しているユーザー</v>
      </c>
    </row>
    <row r="16" spans="2:30">
      <c r="B16" s="332" t="s">
        <v>1787</v>
      </c>
      <c r="C16" s="46" t="s">
        <v>394</v>
      </c>
      <c r="D16" t="s">
        <v>1298</v>
      </c>
      <c r="E16" s="46" t="s">
        <v>395</v>
      </c>
      <c r="AA16" s="337" t="s">
        <v>28</v>
      </c>
      <c r="AB16" s="46" t="s">
        <v>394</v>
      </c>
      <c r="AC16" s="46" t="str">
        <f t="shared" si="0"/>
        <v>1日の中で均等に広告表示</v>
      </c>
      <c r="AD16" s="46" t="str">
        <f t="shared" si="1"/>
        <v>標準：広告配信を最適化し予算を均等に消化します</v>
      </c>
    </row>
    <row r="17" spans="2:30">
      <c r="B17" s="332" t="s">
        <v>1787</v>
      </c>
      <c r="C17" s="46" t="s">
        <v>396</v>
      </c>
      <c r="D17" s="46" t="s">
        <v>397</v>
      </c>
      <c r="E17" s="46" t="s">
        <v>398</v>
      </c>
      <c r="AA17" s="337" t="s">
        <v>28</v>
      </c>
      <c r="AB17" s="46" t="s">
        <v>396</v>
      </c>
      <c r="AC17" s="46" t="str">
        <f t="shared" si="0"/>
        <v>設定しない（曜日・時間帯に関係なく表示）</v>
      </c>
      <c r="AD17" s="46" t="str">
        <f t="shared" si="1"/>
        <v>広告を常時表示しています</v>
      </c>
    </row>
    <row r="18" spans="2:30">
      <c r="B18" s="332" t="s">
        <v>1787</v>
      </c>
      <c r="C18" s="48" t="s">
        <v>1299</v>
      </c>
      <c r="D18" s="46" t="s">
        <v>709</v>
      </c>
      <c r="E18" s="46" t="s">
        <v>445</v>
      </c>
      <c r="AA18" s="337" t="s">
        <v>28</v>
      </c>
      <c r="AB18" s="48" t="s">
        <v>1299</v>
      </c>
      <c r="AC18" s="46" t="str">
        <f t="shared" si="0"/>
        <v>最適化して配信</v>
      </c>
      <c r="AD18" s="46" t="str">
        <f t="shared" si="1"/>
        <v>最適化</v>
      </c>
    </row>
    <row r="19" spans="2:30">
      <c r="B19" s="333" t="s">
        <v>1787</v>
      </c>
      <c r="C19" s="48" t="s">
        <v>399</v>
      </c>
      <c r="D19" s="46" t="s">
        <v>390</v>
      </c>
      <c r="E19" s="46" t="s">
        <v>672</v>
      </c>
      <c r="AA19" s="337" t="s">
        <v>28</v>
      </c>
      <c r="AB19" s="48" t="s">
        <v>399</v>
      </c>
      <c r="AC19" s="46" t="str">
        <f t="shared" si="0"/>
        <v>-</v>
      </c>
      <c r="AD19" s="46" t="str">
        <f t="shared" si="1"/>
        <v>このアカウントの特定の広告表示オプション（自動）を使用しない(8種類を指定)</v>
      </c>
    </row>
    <row r="20" spans="2:30">
      <c r="B20" s="331" t="s">
        <v>400</v>
      </c>
      <c r="C20" s="462" t="s">
        <v>401</v>
      </c>
      <c r="D20" s="266" t="s">
        <v>1296</v>
      </c>
      <c r="E20" s="266" t="s">
        <v>577</v>
      </c>
      <c r="AA20" s="338" t="s">
        <v>1451</v>
      </c>
      <c r="AB20" s="339" t="s">
        <v>401</v>
      </c>
      <c r="AC20" s="46" t="str">
        <f t="shared" si="0"/>
        <v>個別クリック単価： 1円</v>
      </c>
      <c r="AD20" s="46" t="str">
        <f t="shared" si="1"/>
        <v>個別クリック単価 ：1円</v>
      </c>
    </row>
    <row r="21" spans="2:30">
      <c r="B21" s="334" t="s">
        <v>400</v>
      </c>
      <c r="C21" s="463"/>
      <c r="D21" s="46" t="s">
        <v>576</v>
      </c>
      <c r="E21" s="47" t="s">
        <v>580</v>
      </c>
      <c r="AA21" s="338" t="s">
        <v>1451</v>
      </c>
      <c r="AB21" s="339" t="s">
        <v>401</v>
      </c>
      <c r="AC21" s="46" t="str">
        <f t="shared" si="0"/>
        <v>自動入札名：自動入札の種類と同じ名前（クリック数の最大化、コンバージョン数の最大化etc）</v>
      </c>
      <c r="AD21" s="46" t="str">
        <f t="shared" si="1"/>
        <v>-</v>
      </c>
    </row>
    <row r="22" spans="2:30">
      <c r="B22" s="334" t="s">
        <v>400</v>
      </c>
      <c r="C22" s="463"/>
      <c r="D22" s="46" t="s">
        <v>688</v>
      </c>
      <c r="E22" s="46" t="s">
        <v>688</v>
      </c>
      <c r="AA22" s="338" t="s">
        <v>1451</v>
      </c>
      <c r="AB22" s="339" t="s">
        <v>401</v>
      </c>
      <c r="AC22" s="46" t="str">
        <f t="shared" si="0"/>
        <v>自動入札の目標：50円で設定</v>
      </c>
      <c r="AD22" s="46" t="str">
        <f t="shared" si="1"/>
        <v>自動入札の目標：50円で設定</v>
      </c>
    </row>
    <row r="23" spans="2:30" ht="37.5">
      <c r="B23" s="335" t="s">
        <v>400</v>
      </c>
      <c r="C23" s="48" t="s">
        <v>597</v>
      </c>
      <c r="D23" s="46" t="s">
        <v>449</v>
      </c>
      <c r="E23" s="46" t="s">
        <v>542</v>
      </c>
      <c r="AA23" s="338" t="s">
        <v>1451</v>
      </c>
      <c r="AB23" s="340" t="s">
        <v>1796</v>
      </c>
      <c r="AC23" s="46" t="str">
        <f t="shared" si="0"/>
        <v>全ユーザー</v>
      </c>
      <c r="AD23" s="46" t="str">
        <f t="shared" si="1"/>
        <v>インタレストとリマーケティング：モニタリング　　その他：ターゲティング</v>
      </c>
    </row>
  </sheetData>
  <mergeCells count="1">
    <mergeCell ref="C20:C22"/>
  </mergeCells>
  <phoneticPr fontId="20"/>
  <pageMargins left="0.7" right="0.7" top="0.75" bottom="0.75" header="0.3" footer="0.3"/>
  <pageSetup paperSize="9"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1"/>
  </sheetPr>
  <dimension ref="B1:N42"/>
  <sheetViews>
    <sheetView zoomScale="85" zoomScaleNormal="85" workbookViewId="0"/>
  </sheetViews>
  <sheetFormatPr defaultColWidth="7.21875" defaultRowHeight="18.75"/>
  <cols>
    <col min="1" max="1" width="2.6640625" style="288" customWidth="1"/>
    <col min="2" max="2" width="34.77734375" style="288" customWidth="1"/>
    <col min="3" max="3" width="26.109375" style="288" customWidth="1"/>
    <col min="4" max="5" width="7.21875" style="288"/>
    <col min="6" max="7" width="3.5546875" style="288" customWidth="1"/>
    <col min="8" max="8" width="11.21875" style="288" customWidth="1"/>
    <col min="9" max="9" width="19.88671875" style="288" bestFit="1" customWidth="1"/>
    <col min="10" max="10" width="12" style="288" customWidth="1"/>
    <col min="11" max="13" width="12.33203125" style="288" customWidth="1"/>
    <col min="14" max="14" width="17.44140625" style="288" customWidth="1"/>
    <col min="15" max="16384" width="7.21875" style="288"/>
  </cols>
  <sheetData>
    <row r="1" spans="2:14" ht="41.45" customHeight="1">
      <c r="C1" s="288" t="s">
        <v>1453</v>
      </c>
      <c r="H1" s="293" t="s">
        <v>1454</v>
      </c>
      <c r="I1" s="294"/>
      <c r="J1" s="307"/>
      <c r="K1" s="293" t="s">
        <v>1797</v>
      </c>
      <c r="L1" s="294"/>
    </row>
    <row r="2" spans="2:14" ht="41.45" customHeight="1">
      <c r="C2" s="288" t="s">
        <v>1453</v>
      </c>
    </row>
    <row r="3" spans="2:14">
      <c r="B3" s="288" t="s">
        <v>1455</v>
      </c>
      <c r="H3" s="295" t="s">
        <v>1456</v>
      </c>
      <c r="N3" s="306" t="s">
        <v>1888</v>
      </c>
    </row>
    <row r="4" spans="2:14">
      <c r="B4" s="296" t="s">
        <v>1446</v>
      </c>
      <c r="C4" s="296" t="s">
        <v>1457</v>
      </c>
      <c r="D4" s="296" t="s">
        <v>1458</v>
      </c>
      <c r="E4"/>
      <c r="F4"/>
      <c r="H4" s="297" t="s">
        <v>1530</v>
      </c>
      <c r="I4" s="298" t="s">
        <v>1531</v>
      </c>
      <c r="J4" s="308" t="s">
        <v>1532</v>
      </c>
      <c r="K4" s="308" t="s">
        <v>1536</v>
      </c>
      <c r="L4" s="308" t="s">
        <v>1890</v>
      </c>
      <c r="M4" s="308" t="s">
        <v>1535</v>
      </c>
      <c r="N4" s="308" t="s">
        <v>1887</v>
      </c>
    </row>
    <row r="5" spans="2:14">
      <c r="B5" s="303"/>
      <c r="C5" s="305"/>
      <c r="D5" s="304"/>
      <c r="E5"/>
      <c r="F5"/>
      <c r="H5" s="291" t="s">
        <v>19</v>
      </c>
      <c r="I5" s="299">
        <v>0</v>
      </c>
      <c r="J5" s="299">
        <v>0</v>
      </c>
      <c r="K5" s="299">
        <v>0</v>
      </c>
      <c r="L5" s="299">
        <v>0</v>
      </c>
      <c r="M5" s="299">
        <v>0</v>
      </c>
      <c r="N5" s="299">
        <v>0</v>
      </c>
    </row>
    <row r="6" spans="2:14">
      <c r="E6"/>
      <c r="F6"/>
      <c r="H6" s="291" t="s">
        <v>512</v>
      </c>
      <c r="I6" s="299">
        <v>0</v>
      </c>
      <c r="J6" s="299">
        <v>0</v>
      </c>
      <c r="K6" s="299">
        <v>0</v>
      </c>
      <c r="L6" s="299">
        <v>0</v>
      </c>
      <c r="M6" s="299">
        <v>0</v>
      </c>
      <c r="N6" s="352" t="s">
        <v>1886</v>
      </c>
    </row>
    <row r="7" spans="2:14">
      <c r="E7"/>
      <c r="F7"/>
    </row>
    <row r="8" spans="2:14">
      <c r="E8"/>
      <c r="F8"/>
    </row>
    <row r="9" spans="2:14">
      <c r="E9"/>
      <c r="F9"/>
    </row>
    <row r="10" spans="2:14">
      <c r="E10"/>
      <c r="F10"/>
    </row>
    <row r="11" spans="2:14">
      <c r="E11"/>
      <c r="F11"/>
    </row>
    <row r="12" spans="2:14">
      <c r="E12"/>
      <c r="F12"/>
      <c r="I12" s="306"/>
    </row>
    <row r="13" spans="2:14">
      <c r="E13"/>
      <c r="F13"/>
    </row>
    <row r="14" spans="2:14">
      <c r="E14"/>
      <c r="F14"/>
    </row>
    <row r="15" spans="2:14">
      <c r="E15"/>
      <c r="F15"/>
    </row>
    <row r="16" spans="2:14">
      <c r="E16"/>
      <c r="F16"/>
    </row>
    <row r="17" spans="5:6">
      <c r="E17"/>
      <c r="F17"/>
    </row>
    <row r="18" spans="5:6">
      <c r="E18"/>
      <c r="F18"/>
    </row>
    <row r="19" spans="5:6">
      <c r="E19"/>
      <c r="F19"/>
    </row>
    <row r="20" spans="5:6">
      <c r="E20"/>
      <c r="F20"/>
    </row>
    <row r="21" spans="5:6">
      <c r="E21"/>
      <c r="F21"/>
    </row>
    <row r="22" spans="5:6">
      <c r="E22"/>
      <c r="F22"/>
    </row>
    <row r="23" spans="5:6">
      <c r="E23"/>
      <c r="F23"/>
    </row>
    <row r="24" spans="5:6">
      <c r="E24"/>
      <c r="F24"/>
    </row>
    <row r="25" spans="5:6">
      <c r="E25"/>
      <c r="F25"/>
    </row>
    <row r="26" spans="5:6">
      <c r="E26"/>
      <c r="F26"/>
    </row>
    <row r="27" spans="5:6">
      <c r="E27"/>
      <c r="F27"/>
    </row>
    <row r="28" spans="5:6">
      <c r="E28"/>
      <c r="F28"/>
    </row>
    <row r="29" spans="5:6">
      <c r="E29"/>
      <c r="F29"/>
    </row>
    <row r="30" spans="5:6">
      <c r="E30"/>
      <c r="F30"/>
    </row>
    <row r="31" spans="5:6">
      <c r="E31"/>
      <c r="F31"/>
    </row>
    <row r="32" spans="5:6">
      <c r="E32"/>
      <c r="F32"/>
    </row>
    <row r="33" spans="5:6">
      <c r="E33"/>
      <c r="F33"/>
    </row>
    <row r="34" spans="5:6">
      <c r="E34"/>
      <c r="F34"/>
    </row>
    <row r="35" spans="5:6">
      <c r="E35"/>
      <c r="F35"/>
    </row>
    <row r="36" spans="5:6">
      <c r="E36"/>
      <c r="F36"/>
    </row>
    <row r="37" spans="5:6">
      <c r="E37"/>
      <c r="F37"/>
    </row>
    <row r="38" spans="5:6">
      <c r="E38"/>
      <c r="F38"/>
    </row>
    <row r="39" spans="5:6">
      <c r="E39"/>
      <c r="F39"/>
    </row>
    <row r="40" spans="5:6">
      <c r="E40"/>
      <c r="F40"/>
    </row>
    <row r="41" spans="5:6">
      <c r="E41"/>
      <c r="F41"/>
    </row>
    <row r="42" spans="5:6">
      <c r="E42"/>
      <c r="F42"/>
    </row>
  </sheetData>
  <sortState xmlns:xlrd2="http://schemas.microsoft.com/office/spreadsheetml/2017/richdata2" ref="B5:F5">
    <sortCondition ref="E5"/>
    <sortCondition ref="F5"/>
  </sortState>
  <phoneticPr fontId="20"/>
  <dataValidations count="1">
    <dataValidation type="list" allowBlank="1" showInputMessage="1" showErrorMessage="1" sqref="L1" xr:uid="{00000000-0002-0000-0300-000000000000}">
      <formula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8">
              <controlPr defaultSize="0" print="0" autoFill="0" autoPict="0" macro="[0]!btnClearClick">
                <anchor moveWithCells="1">
                  <from>
                    <xdr:col>1</xdr:col>
                    <xdr:colOff>38100</xdr:colOff>
                    <xdr:row>0</xdr:row>
                    <xdr:rowOff>333375</xdr:rowOff>
                  </from>
                  <to>
                    <xdr:col>1</xdr:col>
                    <xdr:colOff>771525</xdr:colOff>
                    <xdr:row>1</xdr:row>
                    <xdr:rowOff>209550</xdr:rowOff>
                  </to>
                </anchor>
              </controlPr>
            </control>
          </mc:Choice>
        </mc:AlternateContent>
        <mc:AlternateContent xmlns:mc="http://schemas.openxmlformats.org/markup-compatibility/2006">
          <mc:Choice Requires="x14">
            <control shapeId="10242" r:id="rId5" name="Button 2">
              <controlPr defaultSize="0" print="0" autoFill="0" autoPict="0" macro="[0]!btnConsulCheckClick">
                <anchor moveWithCells="1" sizeWithCells="1">
                  <from>
                    <xdr:col>1</xdr:col>
                    <xdr:colOff>952500</xdr:colOff>
                    <xdr:row>1</xdr:row>
                    <xdr:rowOff>57150</xdr:rowOff>
                  </from>
                  <to>
                    <xdr:col>1</xdr:col>
                    <xdr:colOff>2571750</xdr:colOff>
                    <xdr:row>1</xdr:row>
                    <xdr:rowOff>438150</xdr:rowOff>
                  </to>
                </anchor>
              </controlPr>
            </control>
          </mc:Choice>
        </mc:AlternateContent>
        <mc:AlternateContent xmlns:mc="http://schemas.openxmlformats.org/markup-compatibility/2006">
          <mc:Choice Requires="x14">
            <control shapeId="10243" r:id="rId6" name="Button 3">
              <controlPr defaultSize="0" print="0" autoFill="0" autoPict="0" macro="[0]!btnFrontCheckClick">
                <anchor moveWithCells="1" sizeWithCells="1">
                  <from>
                    <xdr:col>1</xdr:col>
                    <xdr:colOff>971550</xdr:colOff>
                    <xdr:row>0</xdr:row>
                    <xdr:rowOff>76200</xdr:rowOff>
                  </from>
                  <to>
                    <xdr:col>1</xdr:col>
                    <xdr:colOff>2571750</xdr:colOff>
                    <xdr:row>0</xdr:row>
                    <xdr:rowOff>457200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tabColor theme="1"/>
  </sheetPr>
  <dimension ref="A1:I81"/>
  <sheetViews>
    <sheetView view="pageBreakPreview" zoomScale="85" zoomScaleNormal="70" zoomScaleSheetLayoutView="85" workbookViewId="0">
      <pane ySplit="4" topLeftCell="A69" activePane="bottomLeft" state="frozen"/>
      <selection pane="bottomLeft" activeCell="C80" sqref="C80"/>
    </sheetView>
  </sheetViews>
  <sheetFormatPr defaultRowHeight="18.75"/>
  <cols>
    <col min="1" max="3" width="15.77734375" customWidth="1"/>
    <col min="4" max="4" width="28.109375" customWidth="1"/>
    <col min="5" max="5" width="88.44140625" customWidth="1"/>
    <col min="6" max="7" width="15.77734375" customWidth="1"/>
  </cols>
  <sheetData>
    <row r="1" spans="1:9" hidden="1">
      <c r="A1" s="399" t="s">
        <v>1969</v>
      </c>
      <c r="B1" s="399" t="str">
        <f>LOOKUP("ーー",C:C)</f>
        <v>10.1</v>
      </c>
    </row>
    <row r="2" spans="1:9">
      <c r="A2" s="41" t="s">
        <v>93</v>
      </c>
    </row>
    <row r="4" spans="1:9">
      <c r="A4" s="33" t="s">
        <v>82</v>
      </c>
      <c r="B4" s="34" t="s">
        <v>83</v>
      </c>
      <c r="C4" s="34" t="s">
        <v>209</v>
      </c>
      <c r="D4" s="34" t="s">
        <v>88</v>
      </c>
      <c r="E4" s="34" t="s">
        <v>84</v>
      </c>
      <c r="F4" s="34" t="s">
        <v>85</v>
      </c>
      <c r="G4" s="35" t="s">
        <v>89</v>
      </c>
      <c r="I4" t="s">
        <v>83</v>
      </c>
    </row>
    <row r="5" spans="1:9">
      <c r="A5" s="36">
        <v>42712</v>
      </c>
      <c r="B5" s="37" t="s">
        <v>95</v>
      </c>
      <c r="C5" s="455" t="s">
        <v>205</v>
      </c>
      <c r="D5" s="457" t="s">
        <v>92</v>
      </c>
      <c r="E5" s="458" t="s">
        <v>94</v>
      </c>
      <c r="F5" s="37" t="s">
        <v>90</v>
      </c>
      <c r="G5" s="38" t="s">
        <v>90</v>
      </c>
    </row>
    <row r="6" spans="1:9">
      <c r="A6" s="36">
        <v>42712</v>
      </c>
      <c r="B6" s="37" t="s">
        <v>86</v>
      </c>
      <c r="C6" s="455" t="s">
        <v>206</v>
      </c>
      <c r="D6" s="457" t="s">
        <v>91</v>
      </c>
      <c r="E6" s="458" t="s">
        <v>184</v>
      </c>
      <c r="F6" s="37" t="s">
        <v>90</v>
      </c>
      <c r="G6" s="38" t="s">
        <v>90</v>
      </c>
      <c r="I6" t="s">
        <v>95</v>
      </c>
    </row>
    <row r="7" spans="1:9">
      <c r="A7" s="36">
        <v>42716</v>
      </c>
      <c r="B7" s="37" t="s">
        <v>86</v>
      </c>
      <c r="C7" s="455" t="s">
        <v>207</v>
      </c>
      <c r="D7" s="457" t="s">
        <v>91</v>
      </c>
      <c r="E7" s="458" t="s">
        <v>185</v>
      </c>
      <c r="F7" s="37" t="s">
        <v>90</v>
      </c>
      <c r="G7" s="38" t="s">
        <v>90</v>
      </c>
      <c r="I7" t="s">
        <v>86</v>
      </c>
    </row>
    <row r="8" spans="1:9">
      <c r="A8" s="36">
        <v>42719</v>
      </c>
      <c r="B8" s="37" t="s">
        <v>200</v>
      </c>
      <c r="C8" s="455" t="s">
        <v>208</v>
      </c>
      <c r="D8" s="457" t="s">
        <v>201</v>
      </c>
      <c r="E8" s="458" t="s">
        <v>202</v>
      </c>
      <c r="F8" s="37" t="s">
        <v>203</v>
      </c>
      <c r="G8" s="38" t="s">
        <v>203</v>
      </c>
      <c r="I8" t="s">
        <v>87</v>
      </c>
    </row>
    <row r="9" spans="1:9" ht="37.5">
      <c r="A9" s="36">
        <v>42720</v>
      </c>
      <c r="B9" s="37" t="s">
        <v>200</v>
      </c>
      <c r="C9" s="455" t="s">
        <v>210</v>
      </c>
      <c r="D9" s="457" t="s">
        <v>204</v>
      </c>
      <c r="E9" s="458" t="s">
        <v>211</v>
      </c>
      <c r="F9" s="37" t="s">
        <v>203</v>
      </c>
      <c r="G9" s="38" t="s">
        <v>203</v>
      </c>
    </row>
    <row r="10" spans="1:9">
      <c r="A10" s="36">
        <v>42721</v>
      </c>
      <c r="B10" s="37" t="s">
        <v>86</v>
      </c>
      <c r="C10" s="455" t="s">
        <v>222</v>
      </c>
      <c r="D10" s="457" t="s">
        <v>91</v>
      </c>
      <c r="E10" s="458" t="s">
        <v>184</v>
      </c>
      <c r="F10" s="37" t="s">
        <v>90</v>
      </c>
      <c r="G10" s="38" t="s">
        <v>90</v>
      </c>
    </row>
    <row r="11" spans="1:9">
      <c r="A11" s="36">
        <v>42724</v>
      </c>
      <c r="B11" s="37" t="s">
        <v>86</v>
      </c>
      <c r="C11" s="455" t="s">
        <v>225</v>
      </c>
      <c r="D11" s="457" t="s">
        <v>91</v>
      </c>
      <c r="E11" s="459" t="s">
        <v>226</v>
      </c>
      <c r="F11" s="37" t="s">
        <v>90</v>
      </c>
      <c r="G11" s="38" t="s">
        <v>90</v>
      </c>
    </row>
    <row r="12" spans="1:9">
      <c r="A12" s="36">
        <v>42754</v>
      </c>
      <c r="B12" s="39" t="s">
        <v>95</v>
      </c>
      <c r="C12" s="456" t="s">
        <v>232</v>
      </c>
      <c r="D12" s="460" t="s">
        <v>233</v>
      </c>
      <c r="E12" s="459" t="s">
        <v>234</v>
      </c>
      <c r="F12" s="39" t="s">
        <v>90</v>
      </c>
      <c r="G12" s="40" t="s">
        <v>90</v>
      </c>
    </row>
    <row r="13" spans="1:9">
      <c r="A13" s="36">
        <v>42765</v>
      </c>
      <c r="B13" s="37" t="s">
        <v>86</v>
      </c>
      <c r="C13" s="455" t="s">
        <v>235</v>
      </c>
      <c r="D13" s="457" t="s">
        <v>236</v>
      </c>
      <c r="E13" s="458" t="s">
        <v>237</v>
      </c>
      <c r="F13" s="37" t="s">
        <v>90</v>
      </c>
      <c r="G13" s="38" t="s">
        <v>90</v>
      </c>
    </row>
    <row r="14" spans="1:9">
      <c r="A14" s="36">
        <v>42796</v>
      </c>
      <c r="B14" s="37" t="s">
        <v>86</v>
      </c>
      <c r="C14" s="455" t="s">
        <v>243</v>
      </c>
      <c r="D14" s="457" t="s">
        <v>201</v>
      </c>
      <c r="E14" s="458" t="s">
        <v>244</v>
      </c>
      <c r="F14" s="37" t="s">
        <v>242</v>
      </c>
      <c r="G14" s="38" t="s">
        <v>90</v>
      </c>
    </row>
    <row r="15" spans="1:9">
      <c r="A15" s="36">
        <v>42808</v>
      </c>
      <c r="B15" s="37" t="s">
        <v>86</v>
      </c>
      <c r="C15" s="455" t="s">
        <v>246</v>
      </c>
      <c r="D15" s="457" t="s">
        <v>201</v>
      </c>
      <c r="E15" s="458" t="s">
        <v>245</v>
      </c>
      <c r="F15" s="37" t="s">
        <v>242</v>
      </c>
      <c r="G15" s="38" t="s">
        <v>90</v>
      </c>
    </row>
    <row r="16" spans="1:9">
      <c r="A16" s="36">
        <v>42808</v>
      </c>
      <c r="B16" s="37" t="s">
        <v>86</v>
      </c>
      <c r="C16" s="455" t="s">
        <v>247</v>
      </c>
      <c r="D16" s="457" t="s">
        <v>248</v>
      </c>
      <c r="E16" s="458" t="s">
        <v>244</v>
      </c>
      <c r="F16" s="37" t="s">
        <v>242</v>
      </c>
      <c r="G16" s="38" t="s">
        <v>90</v>
      </c>
    </row>
    <row r="17" spans="1:7">
      <c r="A17" s="36">
        <v>42811</v>
      </c>
      <c r="B17" s="37" t="s">
        <v>86</v>
      </c>
      <c r="C17" s="455" t="s">
        <v>251</v>
      </c>
      <c r="D17" s="457" t="s">
        <v>201</v>
      </c>
      <c r="E17" s="458" t="s">
        <v>253</v>
      </c>
      <c r="F17" s="37" t="s">
        <v>242</v>
      </c>
      <c r="G17" s="38" t="s">
        <v>90</v>
      </c>
    </row>
    <row r="18" spans="1:7">
      <c r="A18" s="36">
        <v>42811</v>
      </c>
      <c r="B18" s="37" t="s">
        <v>86</v>
      </c>
      <c r="C18" s="455" t="s">
        <v>251</v>
      </c>
      <c r="D18" s="457" t="s">
        <v>255</v>
      </c>
      <c r="E18" s="458" t="s">
        <v>254</v>
      </c>
      <c r="F18" s="37" t="s">
        <v>242</v>
      </c>
      <c r="G18" s="38" t="s">
        <v>90</v>
      </c>
    </row>
    <row r="19" spans="1:7">
      <c r="A19" s="36">
        <v>42811</v>
      </c>
      <c r="B19" s="37" t="s">
        <v>86</v>
      </c>
      <c r="C19" s="455" t="s">
        <v>251</v>
      </c>
      <c r="D19" s="457" t="s">
        <v>257</v>
      </c>
      <c r="E19" s="458" t="s">
        <v>256</v>
      </c>
      <c r="F19" s="37" t="s">
        <v>242</v>
      </c>
      <c r="G19" s="38" t="s">
        <v>90</v>
      </c>
    </row>
    <row r="20" spans="1:7">
      <c r="A20" s="36">
        <v>42811</v>
      </c>
      <c r="B20" s="37" t="s">
        <v>86</v>
      </c>
      <c r="C20" s="455" t="s">
        <v>251</v>
      </c>
      <c r="D20" s="457" t="s">
        <v>258</v>
      </c>
      <c r="E20" s="458" t="s">
        <v>254</v>
      </c>
      <c r="F20" s="37" t="s">
        <v>242</v>
      </c>
      <c r="G20" s="38" t="s">
        <v>90</v>
      </c>
    </row>
    <row r="21" spans="1:7">
      <c r="A21" s="36">
        <v>42811</v>
      </c>
      <c r="B21" s="37" t="s">
        <v>86</v>
      </c>
      <c r="C21" s="455" t="s">
        <v>252</v>
      </c>
      <c r="D21" s="457" t="s">
        <v>258</v>
      </c>
      <c r="E21" s="458" t="s">
        <v>259</v>
      </c>
      <c r="F21" s="37" t="s">
        <v>242</v>
      </c>
      <c r="G21" s="38" t="s">
        <v>90</v>
      </c>
    </row>
    <row r="22" spans="1:7">
      <c r="A22" s="36">
        <v>42838</v>
      </c>
      <c r="B22" s="37" t="s">
        <v>86</v>
      </c>
      <c r="C22" s="455" t="s">
        <v>323</v>
      </c>
      <c r="D22" s="457" t="s">
        <v>258</v>
      </c>
      <c r="E22" s="458" t="s">
        <v>324</v>
      </c>
      <c r="F22" s="37" t="s">
        <v>242</v>
      </c>
      <c r="G22" s="38" t="s">
        <v>90</v>
      </c>
    </row>
    <row r="23" spans="1:7">
      <c r="A23" s="75">
        <v>42838</v>
      </c>
      <c r="B23" s="39" t="s">
        <v>86</v>
      </c>
      <c r="C23" s="456" t="s">
        <v>331</v>
      </c>
      <c r="D23" s="457" t="s">
        <v>255</v>
      </c>
      <c r="E23" s="459" t="s">
        <v>330</v>
      </c>
      <c r="F23" s="39" t="s">
        <v>242</v>
      </c>
      <c r="G23" s="40" t="s">
        <v>90</v>
      </c>
    </row>
    <row r="24" spans="1:7">
      <c r="A24" s="75">
        <v>42901</v>
      </c>
      <c r="B24" s="39" t="s">
        <v>86</v>
      </c>
      <c r="C24" s="456" t="s">
        <v>333</v>
      </c>
      <c r="D24" s="460" t="s">
        <v>236</v>
      </c>
      <c r="E24" s="459" t="s">
        <v>334</v>
      </c>
      <c r="F24" s="39" t="s">
        <v>242</v>
      </c>
      <c r="G24" s="40" t="s">
        <v>90</v>
      </c>
    </row>
    <row r="25" spans="1:7">
      <c r="A25" s="36">
        <v>42936</v>
      </c>
      <c r="B25" s="37" t="s">
        <v>86</v>
      </c>
      <c r="C25" s="455" t="s">
        <v>336</v>
      </c>
      <c r="D25" s="457" t="s">
        <v>92</v>
      </c>
      <c r="E25" s="458" t="s">
        <v>339</v>
      </c>
      <c r="F25" s="37" t="s">
        <v>242</v>
      </c>
      <c r="G25" s="38" t="s">
        <v>90</v>
      </c>
    </row>
    <row r="26" spans="1:7">
      <c r="A26" s="36">
        <v>42936</v>
      </c>
      <c r="B26" s="37" t="s">
        <v>86</v>
      </c>
      <c r="C26" s="455" t="s">
        <v>337</v>
      </c>
      <c r="D26" s="460" t="s">
        <v>258</v>
      </c>
      <c r="E26" s="459" t="s">
        <v>338</v>
      </c>
      <c r="F26" s="37" t="s">
        <v>242</v>
      </c>
      <c r="G26" s="38" t="s">
        <v>90</v>
      </c>
    </row>
    <row r="27" spans="1:7">
      <c r="A27" s="75">
        <v>42936</v>
      </c>
      <c r="B27" s="39" t="s">
        <v>86</v>
      </c>
      <c r="C27" s="456" t="s">
        <v>337</v>
      </c>
      <c r="D27" s="460" t="s">
        <v>348</v>
      </c>
      <c r="E27" s="459" t="s">
        <v>349</v>
      </c>
      <c r="F27" s="39" t="s">
        <v>242</v>
      </c>
      <c r="G27" s="40" t="s">
        <v>90</v>
      </c>
    </row>
    <row r="28" spans="1:7">
      <c r="A28" s="75">
        <v>42968</v>
      </c>
      <c r="B28" s="39" t="s">
        <v>86</v>
      </c>
      <c r="C28" s="455" t="s">
        <v>378</v>
      </c>
      <c r="D28" s="460" t="s">
        <v>374</v>
      </c>
      <c r="E28" s="459" t="s">
        <v>375</v>
      </c>
      <c r="F28" s="39" t="s">
        <v>242</v>
      </c>
      <c r="G28" s="40" t="s">
        <v>90</v>
      </c>
    </row>
    <row r="29" spans="1:7">
      <c r="A29" s="36">
        <v>42968</v>
      </c>
      <c r="B29" s="37" t="s">
        <v>86</v>
      </c>
      <c r="C29" s="455" t="s">
        <v>378</v>
      </c>
      <c r="D29" s="457" t="s">
        <v>376</v>
      </c>
      <c r="E29" s="458" t="s">
        <v>377</v>
      </c>
      <c r="F29" s="37" t="s">
        <v>242</v>
      </c>
      <c r="G29" s="38" t="s">
        <v>90</v>
      </c>
    </row>
    <row r="30" spans="1:7">
      <c r="A30" s="75">
        <v>43021</v>
      </c>
      <c r="B30" s="39" t="s">
        <v>86</v>
      </c>
      <c r="C30" s="456" t="s">
        <v>402</v>
      </c>
      <c r="D30" s="460" t="s">
        <v>403</v>
      </c>
      <c r="E30" s="459" t="s">
        <v>404</v>
      </c>
      <c r="F30" s="39" t="s">
        <v>405</v>
      </c>
      <c r="G30" s="40"/>
    </row>
    <row r="31" spans="1:7">
      <c r="A31" s="75">
        <v>43028</v>
      </c>
      <c r="B31" s="39" t="s">
        <v>86</v>
      </c>
      <c r="C31" s="456" t="s">
        <v>430</v>
      </c>
      <c r="D31" s="460" t="s">
        <v>406</v>
      </c>
      <c r="E31" s="459" t="s">
        <v>407</v>
      </c>
      <c r="F31" s="39" t="s">
        <v>405</v>
      </c>
      <c r="G31" s="40"/>
    </row>
    <row r="32" spans="1:7">
      <c r="A32" s="75">
        <v>43028</v>
      </c>
      <c r="B32" s="39" t="s">
        <v>86</v>
      </c>
      <c r="C32" s="456" t="s">
        <v>430</v>
      </c>
      <c r="D32" s="460" t="s">
        <v>410</v>
      </c>
      <c r="E32" s="459" t="s">
        <v>433</v>
      </c>
      <c r="F32" s="39" t="s">
        <v>405</v>
      </c>
      <c r="G32" s="40"/>
    </row>
    <row r="33" spans="1:7">
      <c r="A33" s="75">
        <v>43028</v>
      </c>
      <c r="B33" s="39" t="s">
        <v>86</v>
      </c>
      <c r="C33" s="456" t="s">
        <v>430</v>
      </c>
      <c r="D33" s="460" t="s">
        <v>413</v>
      </c>
      <c r="E33" s="459" t="s">
        <v>414</v>
      </c>
      <c r="F33" s="39" t="s">
        <v>405</v>
      </c>
      <c r="G33" s="40"/>
    </row>
    <row r="34" spans="1:7">
      <c r="A34" s="75">
        <v>43028</v>
      </c>
      <c r="B34" s="39" t="s">
        <v>86</v>
      </c>
      <c r="C34" s="456" t="s">
        <v>430</v>
      </c>
      <c r="D34" s="460" t="s">
        <v>429</v>
      </c>
      <c r="E34" s="459" t="s">
        <v>414</v>
      </c>
      <c r="F34" s="39" t="s">
        <v>405</v>
      </c>
      <c r="G34" s="40"/>
    </row>
    <row r="35" spans="1:7">
      <c r="A35" s="36">
        <v>43046</v>
      </c>
      <c r="B35" s="37" t="s">
        <v>86</v>
      </c>
      <c r="C35" s="455" t="s">
        <v>442</v>
      </c>
      <c r="D35" s="457"/>
      <c r="E35" s="458" t="s">
        <v>440</v>
      </c>
      <c r="F35" s="37" t="s">
        <v>441</v>
      </c>
      <c r="G35" s="38"/>
    </row>
    <row r="36" spans="1:7" ht="37.5">
      <c r="A36" s="36">
        <v>43105</v>
      </c>
      <c r="B36" s="37" t="s">
        <v>86</v>
      </c>
      <c r="C36" s="455" t="s">
        <v>505</v>
      </c>
      <c r="D36" s="457" t="s">
        <v>506</v>
      </c>
      <c r="E36" s="458" t="s">
        <v>507</v>
      </c>
      <c r="F36" s="37" t="s">
        <v>441</v>
      </c>
      <c r="G36" s="38"/>
    </row>
    <row r="37" spans="1:7">
      <c r="A37" s="36">
        <v>43105</v>
      </c>
      <c r="B37" s="37" t="s">
        <v>86</v>
      </c>
      <c r="C37" s="455" t="s">
        <v>505</v>
      </c>
      <c r="D37" s="457" t="s">
        <v>508</v>
      </c>
      <c r="E37" s="458" t="s">
        <v>510</v>
      </c>
      <c r="F37" s="37" t="s">
        <v>441</v>
      </c>
      <c r="G37" s="38"/>
    </row>
    <row r="38" spans="1:7">
      <c r="A38" s="75">
        <v>43105</v>
      </c>
      <c r="B38" s="39" t="s">
        <v>86</v>
      </c>
      <c r="C38" s="456" t="s">
        <v>505</v>
      </c>
      <c r="D38" s="460" t="s">
        <v>509</v>
      </c>
      <c r="E38" s="459" t="s">
        <v>511</v>
      </c>
      <c r="F38" s="39" t="s">
        <v>441</v>
      </c>
      <c r="G38" s="40"/>
    </row>
    <row r="39" spans="1:7">
      <c r="A39" s="75">
        <v>43187</v>
      </c>
      <c r="B39" s="39" t="s">
        <v>86</v>
      </c>
      <c r="C39" s="456" t="s">
        <v>544</v>
      </c>
      <c r="D39" s="460" t="s">
        <v>545</v>
      </c>
      <c r="E39" s="459" t="s">
        <v>546</v>
      </c>
      <c r="F39" s="39" t="s">
        <v>547</v>
      </c>
      <c r="G39" s="40"/>
    </row>
    <row r="40" spans="1:7">
      <c r="A40" s="75">
        <v>43245</v>
      </c>
      <c r="B40" s="39" t="s">
        <v>86</v>
      </c>
      <c r="C40" s="456" t="s">
        <v>592</v>
      </c>
      <c r="D40" s="460"/>
      <c r="E40" s="459" t="s">
        <v>594</v>
      </c>
      <c r="F40" s="39" t="s">
        <v>593</v>
      </c>
      <c r="G40" s="40"/>
    </row>
    <row r="41" spans="1:7">
      <c r="A41" s="75">
        <v>43444</v>
      </c>
      <c r="B41" s="39" t="s">
        <v>95</v>
      </c>
      <c r="C41" s="456" t="s">
        <v>675</v>
      </c>
      <c r="D41" s="460" t="s">
        <v>1542</v>
      </c>
      <c r="E41" s="459" t="s">
        <v>1540</v>
      </c>
      <c r="F41" s="39" t="s">
        <v>1539</v>
      </c>
      <c r="G41" s="40"/>
    </row>
    <row r="42" spans="1:7">
      <c r="A42" s="75">
        <v>43444</v>
      </c>
      <c r="B42" s="39" t="s">
        <v>95</v>
      </c>
      <c r="C42" s="456" t="s">
        <v>675</v>
      </c>
      <c r="D42" s="460" t="s">
        <v>1543</v>
      </c>
      <c r="E42" s="459" t="s">
        <v>1541</v>
      </c>
      <c r="F42" s="39" t="s">
        <v>1539</v>
      </c>
      <c r="G42" s="40"/>
    </row>
    <row r="43" spans="1:7">
      <c r="A43" s="75">
        <v>43444</v>
      </c>
      <c r="B43" s="39" t="s">
        <v>95</v>
      </c>
      <c r="C43" s="456" t="s">
        <v>675</v>
      </c>
      <c r="D43" s="460" t="s">
        <v>1547</v>
      </c>
      <c r="E43" s="459" t="s">
        <v>1545</v>
      </c>
      <c r="F43" s="39" t="s">
        <v>1539</v>
      </c>
      <c r="G43" s="40"/>
    </row>
    <row r="44" spans="1:7">
      <c r="A44" s="75">
        <v>43444</v>
      </c>
      <c r="B44" s="39" t="s">
        <v>95</v>
      </c>
      <c r="C44" s="456" t="s">
        <v>675</v>
      </c>
      <c r="D44" s="460" t="s">
        <v>1544</v>
      </c>
      <c r="E44" s="459" t="s">
        <v>1546</v>
      </c>
      <c r="F44" s="39" t="s">
        <v>1539</v>
      </c>
      <c r="G44" s="40"/>
    </row>
    <row r="45" spans="1:7">
      <c r="A45" s="75">
        <v>43444</v>
      </c>
      <c r="B45" s="39" t="s">
        <v>95</v>
      </c>
      <c r="C45" s="456" t="s">
        <v>675</v>
      </c>
      <c r="D45" s="460" t="s">
        <v>1548</v>
      </c>
      <c r="E45" s="459" t="s">
        <v>1549</v>
      </c>
      <c r="F45" s="39" t="s">
        <v>1539</v>
      </c>
      <c r="G45" s="40"/>
    </row>
    <row r="46" spans="1:7">
      <c r="A46" s="75">
        <v>43460</v>
      </c>
      <c r="B46" s="39" t="s">
        <v>95</v>
      </c>
      <c r="C46" s="456" t="s">
        <v>675</v>
      </c>
      <c r="D46" s="460" t="s">
        <v>1550</v>
      </c>
      <c r="E46" s="459" t="s">
        <v>1551</v>
      </c>
      <c r="F46" s="39" t="s">
        <v>547</v>
      </c>
      <c r="G46" s="40"/>
    </row>
    <row r="47" spans="1:7">
      <c r="A47" s="75">
        <v>43473</v>
      </c>
      <c r="B47" s="39" t="s">
        <v>86</v>
      </c>
      <c r="C47" s="456" t="s">
        <v>1552</v>
      </c>
      <c r="D47" s="460" t="s">
        <v>258</v>
      </c>
      <c r="E47" s="459" t="s">
        <v>1553</v>
      </c>
      <c r="F47" s="39" t="s">
        <v>242</v>
      </c>
      <c r="G47" s="40"/>
    </row>
    <row r="48" spans="1:7">
      <c r="A48" s="75">
        <v>43503</v>
      </c>
      <c r="B48" s="39" t="s">
        <v>86</v>
      </c>
      <c r="C48" s="456" t="s">
        <v>1552</v>
      </c>
      <c r="D48" s="460" t="s">
        <v>1742</v>
      </c>
      <c r="E48" s="459" t="s">
        <v>1743</v>
      </c>
      <c r="F48" s="39" t="s">
        <v>1744</v>
      </c>
      <c r="G48" s="40"/>
    </row>
    <row r="49" spans="1:7">
      <c r="A49" s="75">
        <v>43500</v>
      </c>
      <c r="B49" s="39" t="s">
        <v>86</v>
      </c>
      <c r="C49" s="456" t="s">
        <v>1552</v>
      </c>
      <c r="D49" s="460" t="s">
        <v>1783</v>
      </c>
      <c r="E49" s="459" t="s">
        <v>1769</v>
      </c>
      <c r="F49" s="39" t="s">
        <v>1754</v>
      </c>
      <c r="G49" s="40"/>
    </row>
    <row r="50" spans="1:7">
      <c r="A50" s="75">
        <v>43504</v>
      </c>
      <c r="B50" s="39" t="s">
        <v>86</v>
      </c>
      <c r="C50" s="456" t="s">
        <v>1851</v>
      </c>
      <c r="D50" s="460" t="s">
        <v>1784</v>
      </c>
      <c r="E50" s="459" t="s">
        <v>1756</v>
      </c>
      <c r="F50" s="39" t="s">
        <v>1744</v>
      </c>
      <c r="G50" s="40"/>
    </row>
    <row r="51" spans="1:7">
      <c r="A51" s="75">
        <v>43504</v>
      </c>
      <c r="B51" s="39" t="s">
        <v>86</v>
      </c>
      <c r="C51" s="456" t="s">
        <v>1851</v>
      </c>
      <c r="D51" s="460" t="s">
        <v>258</v>
      </c>
      <c r="E51" s="459" t="s">
        <v>1757</v>
      </c>
      <c r="F51" s="39" t="s">
        <v>1744</v>
      </c>
      <c r="G51" s="40"/>
    </row>
    <row r="52" spans="1:7">
      <c r="A52" s="75">
        <v>43504</v>
      </c>
      <c r="B52" s="39" t="s">
        <v>86</v>
      </c>
      <c r="C52" s="456" t="s">
        <v>1851</v>
      </c>
      <c r="D52" s="460" t="s">
        <v>1766</v>
      </c>
      <c r="E52" s="459" t="s">
        <v>1785</v>
      </c>
      <c r="F52" s="39" t="s">
        <v>1744</v>
      </c>
      <c r="G52" s="40"/>
    </row>
    <row r="53" spans="1:7">
      <c r="A53" s="75">
        <v>43504</v>
      </c>
      <c r="B53" s="39" t="s">
        <v>86</v>
      </c>
      <c r="C53" s="456" t="s">
        <v>1851</v>
      </c>
      <c r="D53" s="460"/>
      <c r="E53" s="459" t="s">
        <v>1767</v>
      </c>
      <c r="F53" s="39" t="s">
        <v>1744</v>
      </c>
      <c r="G53" s="40"/>
    </row>
    <row r="54" spans="1:7">
      <c r="A54" s="75">
        <v>43504</v>
      </c>
      <c r="B54" s="39" t="s">
        <v>86</v>
      </c>
      <c r="C54" s="456" t="s">
        <v>1851</v>
      </c>
      <c r="D54" s="460" t="s">
        <v>1786</v>
      </c>
      <c r="E54" s="459" t="s">
        <v>1779</v>
      </c>
      <c r="F54" s="39" t="s">
        <v>1744</v>
      </c>
      <c r="G54" s="40"/>
    </row>
    <row r="55" spans="1:7">
      <c r="A55" s="75">
        <v>43504</v>
      </c>
      <c r="B55" s="39" t="s">
        <v>95</v>
      </c>
      <c r="C55" s="456" t="s">
        <v>1851</v>
      </c>
      <c r="D55" s="460" t="s">
        <v>1782</v>
      </c>
      <c r="E55" s="459" t="s">
        <v>1781</v>
      </c>
      <c r="F55" s="39" t="s">
        <v>1744</v>
      </c>
      <c r="G55" s="40"/>
    </row>
    <row r="56" spans="1:7">
      <c r="A56" s="75">
        <v>43504</v>
      </c>
      <c r="B56" s="39" t="s">
        <v>95</v>
      </c>
      <c r="C56" s="456" t="s">
        <v>1851</v>
      </c>
      <c r="D56" s="460" t="s">
        <v>1780</v>
      </c>
      <c r="E56" s="459" t="s">
        <v>1781</v>
      </c>
      <c r="F56" s="39" t="s">
        <v>1744</v>
      </c>
      <c r="G56" s="40"/>
    </row>
    <row r="57" spans="1:7">
      <c r="A57" s="75">
        <v>43504</v>
      </c>
      <c r="B57" s="39" t="s">
        <v>86</v>
      </c>
      <c r="C57" s="456" t="s">
        <v>1851</v>
      </c>
      <c r="D57" s="460" t="s">
        <v>1788</v>
      </c>
      <c r="E57" s="459" t="s">
        <v>1789</v>
      </c>
      <c r="F57" s="39" t="s">
        <v>1744</v>
      </c>
      <c r="G57" s="40"/>
    </row>
    <row r="58" spans="1:7">
      <c r="A58" s="75">
        <v>43510</v>
      </c>
      <c r="B58" s="39" t="s">
        <v>200</v>
      </c>
      <c r="C58" s="456" t="s">
        <v>1851</v>
      </c>
      <c r="D58" s="460" t="s">
        <v>1798</v>
      </c>
      <c r="E58" s="459" t="s">
        <v>1799</v>
      </c>
      <c r="F58" s="39" t="s">
        <v>1800</v>
      </c>
      <c r="G58" s="40"/>
    </row>
    <row r="59" spans="1:7">
      <c r="A59" s="36">
        <v>43517</v>
      </c>
      <c r="B59" s="37" t="s">
        <v>86</v>
      </c>
      <c r="C59" s="455" t="s">
        <v>1844</v>
      </c>
      <c r="D59" s="457" t="s">
        <v>1742</v>
      </c>
      <c r="E59" s="458" t="s">
        <v>1845</v>
      </c>
      <c r="F59" s="37" t="s">
        <v>1846</v>
      </c>
      <c r="G59" s="38"/>
    </row>
    <row r="60" spans="1:7">
      <c r="A60" s="36">
        <v>43517</v>
      </c>
      <c r="B60" s="37" t="s">
        <v>86</v>
      </c>
      <c r="C60" s="455" t="s">
        <v>1847</v>
      </c>
      <c r="D60" s="457" t="s">
        <v>1742</v>
      </c>
      <c r="E60" s="458" t="s">
        <v>1848</v>
      </c>
      <c r="F60" s="37" t="s">
        <v>1846</v>
      </c>
      <c r="G60" s="38"/>
    </row>
    <row r="61" spans="1:7">
      <c r="A61" s="75">
        <v>43517</v>
      </c>
      <c r="B61" s="39" t="s">
        <v>86</v>
      </c>
      <c r="C61" s="456" t="s">
        <v>1847</v>
      </c>
      <c r="D61" s="460" t="s">
        <v>1849</v>
      </c>
      <c r="E61" s="459" t="s">
        <v>1850</v>
      </c>
      <c r="F61" s="39" t="s">
        <v>1846</v>
      </c>
      <c r="G61" s="40"/>
    </row>
    <row r="62" spans="1:7">
      <c r="A62" s="75">
        <v>43536</v>
      </c>
      <c r="B62" s="39" t="s">
        <v>86</v>
      </c>
      <c r="C62" s="456" t="s">
        <v>1883</v>
      </c>
      <c r="D62" s="460" t="s">
        <v>1742</v>
      </c>
      <c r="E62" s="459" t="s">
        <v>1884</v>
      </c>
      <c r="F62" s="39" t="s">
        <v>547</v>
      </c>
      <c r="G62" s="40"/>
    </row>
    <row r="63" spans="1:7">
      <c r="A63" s="75">
        <v>43536</v>
      </c>
      <c r="B63" s="39" t="s">
        <v>86</v>
      </c>
      <c r="C63" s="456" t="s">
        <v>1883</v>
      </c>
      <c r="D63" s="460" t="s">
        <v>1742</v>
      </c>
      <c r="E63" s="459" t="s">
        <v>1885</v>
      </c>
      <c r="F63" s="39" t="s">
        <v>547</v>
      </c>
      <c r="G63" s="40"/>
    </row>
    <row r="64" spans="1:7">
      <c r="A64" s="75">
        <v>43566</v>
      </c>
      <c r="B64" s="39" t="s">
        <v>86</v>
      </c>
      <c r="C64" s="456" t="s">
        <v>1967</v>
      </c>
      <c r="D64" s="460" t="s">
        <v>1893</v>
      </c>
      <c r="E64" s="459" t="s">
        <v>1894</v>
      </c>
      <c r="F64" s="39" t="s">
        <v>1800</v>
      </c>
      <c r="G64" s="40"/>
    </row>
    <row r="65" spans="1:7">
      <c r="A65" s="75">
        <v>43566</v>
      </c>
      <c r="B65" s="39" t="s">
        <v>86</v>
      </c>
      <c r="C65" s="456" t="s">
        <v>1966</v>
      </c>
      <c r="D65" s="460" t="s">
        <v>1895</v>
      </c>
      <c r="E65" s="459" t="s">
        <v>1896</v>
      </c>
      <c r="F65" s="39" t="s">
        <v>1800</v>
      </c>
      <c r="G65" s="40"/>
    </row>
    <row r="66" spans="1:7">
      <c r="A66" s="75">
        <v>43570</v>
      </c>
      <c r="B66" s="39" t="s">
        <v>86</v>
      </c>
      <c r="C66" s="456" t="s">
        <v>1966</v>
      </c>
      <c r="D66" s="460" t="s">
        <v>186</v>
      </c>
      <c r="E66" s="459" t="s">
        <v>1897</v>
      </c>
      <c r="F66" s="39" t="s">
        <v>1800</v>
      </c>
      <c r="G66" s="40"/>
    </row>
    <row r="67" spans="1:7">
      <c r="A67" s="75">
        <v>43570</v>
      </c>
      <c r="B67" s="39" t="s">
        <v>86</v>
      </c>
      <c r="C67" s="456" t="s">
        <v>1966</v>
      </c>
      <c r="D67" s="460" t="s">
        <v>1916</v>
      </c>
      <c r="E67" s="459" t="s">
        <v>1917</v>
      </c>
      <c r="F67" s="39" t="s">
        <v>1800</v>
      </c>
      <c r="G67" s="40"/>
    </row>
    <row r="68" spans="1:7">
      <c r="A68" s="75">
        <v>43570</v>
      </c>
      <c r="B68" s="39" t="s">
        <v>86</v>
      </c>
      <c r="C68" s="456" t="s">
        <v>1966</v>
      </c>
      <c r="D68" s="460" t="s">
        <v>1924</v>
      </c>
      <c r="E68" s="459" t="s">
        <v>1781</v>
      </c>
      <c r="F68" s="39" t="s">
        <v>1800</v>
      </c>
      <c r="G68" s="40"/>
    </row>
    <row r="69" spans="1:7">
      <c r="A69" s="75">
        <v>43612</v>
      </c>
      <c r="B69" s="39" t="s">
        <v>86</v>
      </c>
      <c r="C69" s="456" t="s">
        <v>1970</v>
      </c>
      <c r="D69" s="460" t="s">
        <v>1973</v>
      </c>
      <c r="E69" s="459" t="s">
        <v>1974</v>
      </c>
      <c r="F69" s="39" t="s">
        <v>1975</v>
      </c>
      <c r="G69" s="40"/>
    </row>
    <row r="70" spans="1:7">
      <c r="A70" s="75">
        <v>43612</v>
      </c>
      <c r="B70" s="39" t="s">
        <v>86</v>
      </c>
      <c r="C70" s="456" t="s">
        <v>1971</v>
      </c>
      <c r="D70" s="460" t="s">
        <v>1976</v>
      </c>
      <c r="E70" s="459" t="s">
        <v>1977</v>
      </c>
      <c r="F70" s="39" t="s">
        <v>1972</v>
      </c>
      <c r="G70" s="40"/>
    </row>
    <row r="71" spans="1:7">
      <c r="A71" s="75">
        <v>43622</v>
      </c>
      <c r="B71" s="39" t="s">
        <v>86</v>
      </c>
      <c r="C71" s="456" t="s">
        <v>1980</v>
      </c>
      <c r="D71" s="460" t="s">
        <v>1786</v>
      </c>
      <c r="E71" s="459" t="s">
        <v>1979</v>
      </c>
      <c r="F71" s="39" t="s">
        <v>1972</v>
      </c>
      <c r="G71" s="40"/>
    </row>
    <row r="72" spans="1:7">
      <c r="A72" s="75">
        <v>43637</v>
      </c>
      <c r="B72" s="39" t="s">
        <v>86</v>
      </c>
      <c r="C72" s="456" t="s">
        <v>1980</v>
      </c>
      <c r="D72" s="460" t="s">
        <v>186</v>
      </c>
      <c r="E72" s="459" t="s">
        <v>1981</v>
      </c>
      <c r="F72" s="39" t="s">
        <v>1982</v>
      </c>
      <c r="G72" s="40"/>
    </row>
    <row r="73" spans="1:7" ht="75">
      <c r="A73" s="75">
        <v>43668</v>
      </c>
      <c r="B73" s="39" t="s">
        <v>86</v>
      </c>
      <c r="C73" s="456" t="s">
        <v>2105</v>
      </c>
      <c r="D73" s="460" t="s">
        <v>1997</v>
      </c>
      <c r="E73" s="459" t="s">
        <v>2093</v>
      </c>
      <c r="F73" s="39" t="s">
        <v>1744</v>
      </c>
      <c r="G73" s="40"/>
    </row>
    <row r="74" spans="1:7">
      <c r="A74" s="75">
        <v>43668</v>
      </c>
      <c r="B74" s="39" t="s">
        <v>86</v>
      </c>
      <c r="C74" s="456" t="s">
        <v>2105</v>
      </c>
      <c r="D74" s="460" t="s">
        <v>186</v>
      </c>
      <c r="E74" s="459" t="s">
        <v>2005</v>
      </c>
      <c r="F74" s="39" t="s">
        <v>1744</v>
      </c>
      <c r="G74" s="40"/>
    </row>
    <row r="75" spans="1:7" ht="37.5">
      <c r="A75" s="75">
        <v>43682</v>
      </c>
      <c r="B75" s="39" t="s">
        <v>86</v>
      </c>
      <c r="C75" s="456" t="s">
        <v>2105</v>
      </c>
      <c r="D75" s="460" t="s">
        <v>2099</v>
      </c>
      <c r="E75" s="459" t="s">
        <v>2103</v>
      </c>
      <c r="F75" s="39" t="s">
        <v>2100</v>
      </c>
      <c r="G75" s="40"/>
    </row>
    <row r="76" spans="1:7">
      <c r="A76" s="75">
        <v>43682</v>
      </c>
      <c r="B76" s="39" t="s">
        <v>86</v>
      </c>
      <c r="C76" s="456" t="s">
        <v>2105</v>
      </c>
      <c r="D76" s="460" t="s">
        <v>1786</v>
      </c>
      <c r="E76" s="459" t="s">
        <v>2101</v>
      </c>
      <c r="F76" s="39" t="s">
        <v>2100</v>
      </c>
      <c r="G76" s="40"/>
    </row>
    <row r="77" spans="1:7">
      <c r="A77" s="75">
        <v>43682</v>
      </c>
      <c r="B77" s="39" t="s">
        <v>86</v>
      </c>
      <c r="C77" s="456" t="s">
        <v>2105</v>
      </c>
      <c r="D77" s="460" t="s">
        <v>2102</v>
      </c>
      <c r="E77" s="459" t="s">
        <v>2104</v>
      </c>
      <c r="F77" s="39" t="s">
        <v>2100</v>
      </c>
      <c r="G77" s="40"/>
    </row>
    <row r="78" spans="1:7" ht="56.25">
      <c r="A78" s="75">
        <v>43696</v>
      </c>
      <c r="B78" s="39" t="s">
        <v>86</v>
      </c>
      <c r="C78" s="456" t="s">
        <v>2105</v>
      </c>
      <c r="D78" s="460" t="s">
        <v>2114</v>
      </c>
      <c r="E78" s="459" t="s">
        <v>2115</v>
      </c>
      <c r="F78" s="39" t="s">
        <v>2116</v>
      </c>
      <c r="G78" s="40"/>
    </row>
    <row r="79" spans="1:7">
      <c r="A79" s="75">
        <v>43707</v>
      </c>
      <c r="B79" s="39" t="s">
        <v>2119</v>
      </c>
      <c r="C79" s="456" t="s">
        <v>2122</v>
      </c>
      <c r="D79" s="460" t="s">
        <v>413</v>
      </c>
      <c r="E79" s="459" t="s">
        <v>2120</v>
      </c>
      <c r="F79" s="39" t="s">
        <v>2121</v>
      </c>
      <c r="G79" s="40"/>
    </row>
    <row r="80" spans="1:7">
      <c r="A80" s="75"/>
      <c r="B80" s="39"/>
      <c r="C80" s="456"/>
      <c r="D80" s="460"/>
      <c r="E80" s="459"/>
      <c r="F80" s="39"/>
      <c r="G80" s="40"/>
    </row>
    <row r="81" spans="1:7">
      <c r="A81" s="75"/>
      <c r="B81" s="39"/>
      <c r="C81" s="456"/>
      <c r="D81" s="460"/>
      <c r="E81" s="459"/>
      <c r="F81" s="39"/>
      <c r="G81" s="40"/>
    </row>
  </sheetData>
  <phoneticPr fontId="20"/>
  <dataValidations count="1">
    <dataValidation type="list" allowBlank="1" showInputMessage="1" sqref="B5:B81" xr:uid="{57E76DF4-3D70-4859-B7FC-9AAA55C317EC}">
      <formula1>$I$5:$I$8</formula1>
    </dataValidation>
  </dataValidations>
  <pageMargins left="0.7" right="0.7" top="0.75" bottom="0.75" header="0.3" footer="0.3"/>
  <pageSetup paperSize="9" scale="35" orientation="portrait" r:id="rId1"/>
  <ignoredErrors>
    <ignoredError sqref="C73:C77"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theme="1"/>
  </sheetPr>
  <dimension ref="A1:BZ50"/>
  <sheetViews>
    <sheetView zoomScale="85" zoomScaleNormal="85" workbookViewId="0">
      <pane ySplit="3" topLeftCell="A4" activePane="bottomLeft" state="frozen"/>
      <selection pane="bottomLeft"/>
    </sheetView>
  </sheetViews>
  <sheetFormatPr defaultRowHeight="18.75"/>
  <cols>
    <col min="1" max="1" width="8.33203125" bestFit="1" customWidth="1"/>
    <col min="2" max="2" width="10" bestFit="1" customWidth="1"/>
    <col min="3" max="3" width="17.44140625" bestFit="1" customWidth="1"/>
    <col min="4" max="5" width="8.33203125" bestFit="1" customWidth="1"/>
    <col min="6" max="6" width="10.6640625" bestFit="1" customWidth="1"/>
    <col min="7" max="7" width="11" bestFit="1" customWidth="1"/>
    <col min="8" max="8" width="21" bestFit="1" customWidth="1"/>
    <col min="9" max="9" width="8.33203125" bestFit="1" customWidth="1"/>
    <col min="10" max="10" width="10" bestFit="1" customWidth="1"/>
    <col min="11" max="11" width="26.88671875" bestFit="1" customWidth="1"/>
    <col min="12" max="12" width="25" bestFit="1" customWidth="1"/>
    <col min="13" max="13" width="8.33203125" bestFit="1" customWidth="1"/>
    <col min="14" max="14" width="46.21875" bestFit="1" customWidth="1"/>
    <col min="15" max="15" width="28.77734375" bestFit="1" customWidth="1"/>
    <col min="16" max="16" width="10" bestFit="1" customWidth="1"/>
    <col min="17" max="17" width="28.77734375" bestFit="1" customWidth="1"/>
    <col min="18" max="18" width="118.21875" bestFit="1" customWidth="1"/>
    <col min="19" max="19" width="28.77734375" bestFit="1" customWidth="1"/>
    <col min="20" max="20" width="16.21875" bestFit="1" customWidth="1"/>
    <col min="21" max="21" width="16.109375" bestFit="1" customWidth="1"/>
    <col min="22" max="22" width="29.109375" bestFit="1" customWidth="1"/>
    <col min="23" max="23" width="118.77734375" bestFit="1" customWidth="1"/>
    <col min="24" max="24" width="90.6640625" bestFit="1" customWidth="1"/>
    <col min="25" max="25" width="101.88671875" bestFit="1" customWidth="1"/>
    <col min="26" max="26" width="73.77734375" bestFit="1" customWidth="1"/>
    <col min="27" max="27" width="13.77734375" bestFit="1" customWidth="1"/>
    <col min="28" max="28" width="25" bestFit="1" customWidth="1"/>
    <col min="29" max="29" width="13.77734375" bestFit="1" customWidth="1"/>
    <col min="30" max="30" width="76.21875" bestFit="1" customWidth="1"/>
    <col min="31" max="31" width="17.44140625" bestFit="1" customWidth="1"/>
    <col min="32" max="32" width="14.109375" bestFit="1" customWidth="1"/>
    <col min="33" max="33" width="14.109375" customWidth="1"/>
    <col min="34" max="34" width="26.88671875" bestFit="1" customWidth="1"/>
    <col min="35" max="35" width="23.21875" bestFit="1" customWidth="1"/>
    <col min="36" max="36" width="14.6640625" bestFit="1" customWidth="1"/>
    <col min="37" max="37" width="11.88671875" bestFit="1" customWidth="1"/>
    <col min="38" max="38" width="21.21875" bestFit="1" customWidth="1"/>
    <col min="39" max="39" width="11.109375" customWidth="1"/>
    <col min="40" max="40" width="23.21875" bestFit="1" customWidth="1"/>
    <col min="41" max="41" width="8.33203125" bestFit="1" customWidth="1"/>
    <col min="42" max="42" width="10" bestFit="1" customWidth="1"/>
    <col min="43" max="44" width="8.33203125" bestFit="1" customWidth="1"/>
    <col min="45" max="45" width="21.6640625" bestFit="1" customWidth="1"/>
    <col min="46" max="46" width="17.44140625" bestFit="1" customWidth="1"/>
    <col min="47" max="47" width="11.88671875" bestFit="1" customWidth="1"/>
    <col min="48" max="48" width="19.44140625" bestFit="1" customWidth="1"/>
    <col min="49" max="49" width="15.6640625" bestFit="1" customWidth="1"/>
    <col min="50" max="50" width="26.88671875" bestFit="1" customWidth="1"/>
    <col min="51" max="51" width="58.77734375" bestFit="1" customWidth="1"/>
    <col min="52" max="52" width="32.44140625" bestFit="1" customWidth="1"/>
    <col min="53" max="53" width="14.6640625" bestFit="1" customWidth="1"/>
    <col min="54" max="54" width="32.44140625" bestFit="1" customWidth="1"/>
    <col min="55" max="55" width="30.6640625" bestFit="1" customWidth="1"/>
    <col min="56" max="56" width="13.77734375" bestFit="1" customWidth="1"/>
    <col min="57" max="58" width="10" bestFit="1" customWidth="1"/>
    <col min="59" max="59" width="11.88671875" bestFit="1" customWidth="1"/>
    <col min="60" max="60" width="9.33203125" bestFit="1" customWidth="1"/>
    <col min="61" max="61" width="38.44140625" bestFit="1" customWidth="1"/>
    <col min="62" max="62" width="8.33203125" bestFit="1" customWidth="1"/>
    <col min="63" max="63" width="21" bestFit="1" customWidth="1"/>
    <col min="64" max="64" width="10" bestFit="1" customWidth="1"/>
    <col min="65" max="65" width="9.109375" bestFit="1" customWidth="1"/>
    <col min="68" max="68" width="8.33203125" bestFit="1" customWidth="1"/>
    <col min="69" max="69" width="15.6640625" bestFit="1" customWidth="1"/>
    <col min="70" max="70" width="9.109375" bestFit="1" customWidth="1"/>
    <col min="71" max="72" width="8.33203125" bestFit="1" customWidth="1"/>
    <col min="73" max="73" width="15.6640625" bestFit="1" customWidth="1"/>
    <col min="74" max="74" width="19.44140625" bestFit="1" customWidth="1"/>
    <col min="75" max="75" width="10" customWidth="1"/>
    <col min="76" max="76" width="11.88671875" bestFit="1" customWidth="1"/>
    <col min="77" max="77" width="8.33203125" bestFit="1" customWidth="1"/>
    <col min="78" max="78" width="19.44140625" bestFit="1" customWidth="1"/>
  </cols>
  <sheetData>
    <row r="1" spans="1:78" s="1" customFormat="1" hidden="1">
      <c r="B1" s="315" t="s">
        <v>1570</v>
      </c>
      <c r="C1" s="315"/>
      <c r="D1" s="315"/>
      <c r="E1" s="315"/>
      <c r="F1" s="315"/>
      <c r="G1" s="315"/>
      <c r="H1" s="316" t="s">
        <v>1571</v>
      </c>
      <c r="I1" s="316"/>
      <c r="J1" s="316"/>
      <c r="K1" s="316"/>
      <c r="L1" s="316"/>
      <c r="M1" s="316"/>
      <c r="N1" s="316"/>
      <c r="O1" s="316"/>
      <c r="P1" s="316"/>
      <c r="Q1" s="316"/>
      <c r="R1" s="316"/>
      <c r="S1" s="316"/>
      <c r="T1" s="316"/>
      <c r="U1" s="316"/>
      <c r="V1" s="316"/>
      <c r="W1" s="316"/>
      <c r="X1" s="316"/>
      <c r="Y1" s="316"/>
      <c r="Z1" s="316"/>
      <c r="AA1" s="316" t="s">
        <v>1749</v>
      </c>
      <c r="AB1" s="316" t="s">
        <v>1749</v>
      </c>
      <c r="AC1" s="316"/>
      <c r="AD1" s="316"/>
      <c r="AE1" s="315" t="s">
        <v>1750</v>
      </c>
      <c r="AF1" s="317" t="s">
        <v>1572</v>
      </c>
      <c r="AG1" s="317"/>
      <c r="AH1" s="318" t="s">
        <v>1573</v>
      </c>
      <c r="AI1" s="318"/>
      <c r="AJ1" s="319" t="s">
        <v>1574</v>
      </c>
      <c r="AK1" s="319"/>
      <c r="AL1" s="319"/>
      <c r="AM1" s="319"/>
      <c r="AN1" s="319"/>
      <c r="AO1" s="319"/>
      <c r="AP1" s="319"/>
      <c r="AQ1" s="319"/>
      <c r="AR1" s="319"/>
      <c r="AS1" s="319"/>
      <c r="AT1" s="319"/>
      <c r="AU1" s="319"/>
      <c r="AV1" s="319"/>
      <c r="AW1" s="319"/>
      <c r="AX1" s="43" t="s">
        <v>1575</v>
      </c>
      <c r="AY1" s="43"/>
      <c r="AZ1" s="43"/>
      <c r="BA1" s="43"/>
      <c r="BB1" s="43"/>
      <c r="BC1" s="43"/>
      <c r="BD1" s="43"/>
      <c r="BE1" s="43"/>
      <c r="BF1" s="43"/>
      <c r="BG1" s="43"/>
      <c r="BH1" s="43"/>
      <c r="BI1" s="320" t="s">
        <v>1764</v>
      </c>
      <c r="BJ1" s="320"/>
      <c r="BK1" s="321" t="s">
        <v>1576</v>
      </c>
      <c r="BL1" s="321"/>
      <c r="BM1" s="322"/>
      <c r="BN1" s="322"/>
      <c r="BO1" s="322"/>
      <c r="BP1" s="322"/>
      <c r="BQ1" s="322"/>
      <c r="BR1" s="322"/>
      <c r="BS1" s="322"/>
      <c r="BT1" s="322"/>
      <c r="BU1" s="322"/>
      <c r="BV1" s="321"/>
      <c r="BW1" s="323" t="s">
        <v>1577</v>
      </c>
      <c r="BX1" s="324" t="s">
        <v>1578</v>
      </c>
      <c r="BY1" s="324"/>
    </row>
    <row r="2" spans="1:78" s="1" customFormat="1" hidden="1">
      <c r="B2" s="315"/>
      <c r="C2" s="315"/>
      <c r="D2" s="315"/>
      <c r="E2" s="315"/>
      <c r="F2" s="315"/>
      <c r="G2" s="315"/>
      <c r="H2" s="316"/>
      <c r="I2" s="316"/>
      <c r="J2" s="316"/>
      <c r="K2" s="316"/>
      <c r="L2" s="316"/>
      <c r="M2" s="316"/>
      <c r="N2" s="316"/>
      <c r="O2" s="316"/>
      <c r="P2" s="316" t="s">
        <v>1746</v>
      </c>
      <c r="Q2" s="316" t="s">
        <v>1747</v>
      </c>
      <c r="R2" s="316"/>
      <c r="S2" s="316"/>
      <c r="T2" s="316"/>
      <c r="U2" s="316"/>
      <c r="V2" s="316"/>
      <c r="W2" s="316" t="s">
        <v>1579</v>
      </c>
      <c r="X2" s="316" t="s">
        <v>1580</v>
      </c>
      <c r="Y2" s="316" t="s">
        <v>1579</v>
      </c>
      <c r="Z2" s="316" t="s">
        <v>1580</v>
      </c>
      <c r="AA2" s="316" t="s">
        <v>1579</v>
      </c>
      <c r="AB2" s="316" t="s">
        <v>1580</v>
      </c>
      <c r="AC2" s="316"/>
      <c r="AD2" s="316"/>
      <c r="AE2" s="315"/>
      <c r="AF2" s="317"/>
      <c r="AG2" s="317"/>
      <c r="AH2" s="318"/>
      <c r="AI2" s="318"/>
      <c r="AJ2" s="319"/>
      <c r="AK2" s="319"/>
      <c r="AL2" s="319"/>
      <c r="AM2" s="319"/>
      <c r="AN2" s="319"/>
      <c r="AO2" s="319"/>
      <c r="AP2" s="319"/>
      <c r="AQ2" s="319"/>
      <c r="AR2" s="319"/>
      <c r="AS2" s="319"/>
      <c r="AT2" s="319"/>
      <c r="AU2" s="319"/>
      <c r="AV2" s="319"/>
      <c r="AW2" s="319"/>
      <c r="AX2" s="43"/>
      <c r="AY2" s="43"/>
      <c r="AZ2" s="43"/>
      <c r="BA2" s="43"/>
      <c r="BB2" s="43"/>
      <c r="BC2" s="43"/>
      <c r="BD2" s="43"/>
      <c r="BE2" s="43"/>
      <c r="BF2" s="43"/>
      <c r="BG2" s="43"/>
      <c r="BH2" s="43"/>
      <c r="BI2" s="320"/>
      <c r="BJ2" s="320"/>
      <c r="BK2" s="321"/>
      <c r="BL2" s="321"/>
      <c r="BM2" s="321"/>
      <c r="BN2" s="321"/>
      <c r="BO2" s="321"/>
      <c r="BP2" s="321"/>
      <c r="BQ2" s="321"/>
      <c r="BR2" s="321"/>
      <c r="BS2" s="321"/>
      <c r="BT2" s="321"/>
      <c r="BU2" s="321"/>
      <c r="BV2" s="321"/>
      <c r="BW2" s="323" t="s">
        <v>1581</v>
      </c>
      <c r="BX2" s="324"/>
      <c r="BY2" s="324"/>
    </row>
    <row r="3" spans="1:78" s="326" customFormat="1" ht="64.5" customHeight="1">
      <c r="A3" s="121" t="s">
        <v>2106</v>
      </c>
      <c r="B3" s="121" t="s">
        <v>1582</v>
      </c>
      <c r="C3" s="121" t="s">
        <v>1583</v>
      </c>
      <c r="D3" s="121" t="s">
        <v>556</v>
      </c>
      <c r="E3" s="121" t="s">
        <v>557</v>
      </c>
      <c r="F3" s="44" t="s">
        <v>1584</v>
      </c>
      <c r="G3" s="44" t="s">
        <v>1585</v>
      </c>
      <c r="H3" s="325" t="s">
        <v>18</v>
      </c>
      <c r="I3" s="44" t="s">
        <v>1737</v>
      </c>
      <c r="J3" s="44" t="s">
        <v>221</v>
      </c>
      <c r="K3" s="44" t="s">
        <v>1586</v>
      </c>
      <c r="L3" s="44" t="s">
        <v>1587</v>
      </c>
      <c r="M3" s="44" t="s">
        <v>1588</v>
      </c>
      <c r="N3" s="44" t="s">
        <v>1589</v>
      </c>
      <c r="O3" s="44" t="s">
        <v>1590</v>
      </c>
      <c r="P3" s="44" t="s">
        <v>1738</v>
      </c>
      <c r="Q3" s="74" t="s">
        <v>322</v>
      </c>
      <c r="R3" s="44" t="s">
        <v>1591</v>
      </c>
      <c r="S3" s="44" t="s">
        <v>1592</v>
      </c>
      <c r="T3" s="44" t="s">
        <v>1593</v>
      </c>
      <c r="U3" s="44" t="s">
        <v>1594</v>
      </c>
      <c r="V3" s="44" t="s">
        <v>11</v>
      </c>
      <c r="W3" s="74" t="s">
        <v>1595</v>
      </c>
      <c r="X3" s="74" t="s">
        <v>600</v>
      </c>
      <c r="Y3" s="74" t="s">
        <v>1596</v>
      </c>
      <c r="Z3" s="325" t="s">
        <v>601</v>
      </c>
      <c r="AA3" s="44" t="s">
        <v>1748</v>
      </c>
      <c r="AB3" s="112" t="s">
        <v>448</v>
      </c>
      <c r="AC3" s="121" t="s">
        <v>1</v>
      </c>
      <c r="AD3" s="74" t="s">
        <v>1739</v>
      </c>
      <c r="AE3" s="328" t="s">
        <v>1751</v>
      </c>
      <c r="AF3" s="44" t="s">
        <v>1878</v>
      </c>
      <c r="AG3" s="44" t="s">
        <v>1879</v>
      </c>
      <c r="AH3" s="121" t="s">
        <v>1597</v>
      </c>
      <c r="AI3" s="121" t="s">
        <v>1758</v>
      </c>
      <c r="AJ3" s="121" t="s">
        <v>1598</v>
      </c>
      <c r="AK3" s="121" t="s">
        <v>1599</v>
      </c>
      <c r="AL3" s="44" t="s">
        <v>1600</v>
      </c>
      <c r="AM3" s="44" t="s">
        <v>1601</v>
      </c>
      <c r="AN3" s="44" t="s">
        <v>1602</v>
      </c>
      <c r="AO3" s="44" t="s">
        <v>268</v>
      </c>
      <c r="AP3" s="44" t="s">
        <v>269</v>
      </c>
      <c r="AQ3" s="44" t="s">
        <v>1603</v>
      </c>
      <c r="AR3" s="112" t="s">
        <v>1604</v>
      </c>
      <c r="AS3" s="44" t="s">
        <v>1605</v>
      </c>
      <c r="AT3" s="112" t="s">
        <v>477</v>
      </c>
      <c r="AU3" s="112" t="s">
        <v>466</v>
      </c>
      <c r="AV3" s="112" t="s">
        <v>487</v>
      </c>
      <c r="AW3" s="112" t="s">
        <v>661</v>
      </c>
      <c r="AX3" s="44" t="s">
        <v>1606</v>
      </c>
      <c r="AY3" s="44" t="s">
        <v>1740</v>
      </c>
      <c r="AZ3" s="44" t="s">
        <v>1741</v>
      </c>
      <c r="BA3" s="44" t="s">
        <v>1607</v>
      </c>
      <c r="BB3" s="44" t="s">
        <v>2000</v>
      </c>
      <c r="BC3" s="44" t="s">
        <v>1608</v>
      </c>
      <c r="BD3" s="44" t="s">
        <v>1759</v>
      </c>
      <c r="BE3" s="44" t="s">
        <v>2004</v>
      </c>
      <c r="BF3" s="44" t="s">
        <v>1609</v>
      </c>
      <c r="BG3" s="44" t="s">
        <v>296</v>
      </c>
      <c r="BH3" s="44" t="s">
        <v>2113</v>
      </c>
      <c r="BI3" s="44" t="s">
        <v>309</v>
      </c>
      <c r="BJ3" s="44" t="s">
        <v>1610</v>
      </c>
      <c r="BK3" s="74" t="s">
        <v>319</v>
      </c>
      <c r="BL3" s="74" t="s">
        <v>1611</v>
      </c>
      <c r="BM3" s="44" t="s">
        <v>1612</v>
      </c>
      <c r="BN3" s="44" t="s">
        <v>1908</v>
      </c>
      <c r="BO3" s="44" t="s">
        <v>1909</v>
      </c>
      <c r="BP3" s="393" t="s">
        <v>1913</v>
      </c>
      <c r="BQ3" s="44" t="s">
        <v>532</v>
      </c>
      <c r="BR3" s="44" t="s">
        <v>540</v>
      </c>
      <c r="BS3" s="391" t="s">
        <v>1911</v>
      </c>
      <c r="BT3" s="391" t="s">
        <v>1912</v>
      </c>
      <c r="BU3" s="112" t="s">
        <v>533</v>
      </c>
      <c r="BV3" s="121" t="s">
        <v>702</v>
      </c>
      <c r="BW3" s="325" t="s">
        <v>342</v>
      </c>
      <c r="BX3" s="325" t="s">
        <v>1613</v>
      </c>
      <c r="BY3" s="93" t="s">
        <v>1614</v>
      </c>
      <c r="BZ3" s="93" t="s">
        <v>1776</v>
      </c>
    </row>
    <row r="4" spans="1:78">
      <c r="A4" t="s">
        <v>186</v>
      </c>
      <c r="B4" t="s">
        <v>186</v>
      </c>
      <c r="C4" t="s">
        <v>186</v>
      </c>
      <c r="D4" t="s">
        <v>186</v>
      </c>
      <c r="E4" t="s">
        <v>186</v>
      </c>
      <c r="F4" t="s">
        <v>186</v>
      </c>
      <c r="G4" t="s">
        <v>186</v>
      </c>
      <c r="H4" t="s">
        <v>186</v>
      </c>
      <c r="I4" t="s">
        <v>186</v>
      </c>
      <c r="J4" t="s">
        <v>186</v>
      </c>
      <c r="K4" t="s">
        <v>186</v>
      </c>
      <c r="L4" t="s">
        <v>186</v>
      </c>
      <c r="M4" t="s">
        <v>186</v>
      </c>
      <c r="N4" t="s">
        <v>186</v>
      </c>
      <c r="O4" t="s">
        <v>186</v>
      </c>
      <c r="P4" t="s">
        <v>186</v>
      </c>
      <c r="Q4" t="s">
        <v>186</v>
      </c>
      <c r="R4" t="s">
        <v>186</v>
      </c>
      <c r="S4" t="s">
        <v>186</v>
      </c>
      <c r="T4" t="s">
        <v>186</v>
      </c>
      <c r="U4" t="s">
        <v>186</v>
      </c>
      <c r="V4" t="s">
        <v>186</v>
      </c>
      <c r="W4" t="s">
        <v>186</v>
      </c>
      <c r="X4" t="s">
        <v>186</v>
      </c>
      <c r="Y4" t="s">
        <v>186</v>
      </c>
      <c r="Z4" t="s">
        <v>186</v>
      </c>
      <c r="AA4" t="s">
        <v>186</v>
      </c>
      <c r="AB4" t="s">
        <v>186</v>
      </c>
      <c r="AC4" t="s">
        <v>1399</v>
      </c>
      <c r="AD4" t="s">
        <v>186</v>
      </c>
      <c r="AE4" t="s">
        <v>186</v>
      </c>
      <c r="AF4" t="s">
        <v>186</v>
      </c>
      <c r="AG4" t="s">
        <v>186</v>
      </c>
      <c r="AH4" t="s">
        <v>186</v>
      </c>
      <c r="AI4" t="s">
        <v>186</v>
      </c>
      <c r="AJ4" t="s">
        <v>662</v>
      </c>
      <c r="AK4" t="s">
        <v>662</v>
      </c>
      <c r="AL4" t="s">
        <v>186</v>
      </c>
      <c r="AM4" t="s">
        <v>186</v>
      </c>
      <c r="AN4" t="s">
        <v>186</v>
      </c>
      <c r="AO4" t="s">
        <v>186</v>
      </c>
      <c r="AP4" t="s">
        <v>186</v>
      </c>
      <c r="AQ4" t="s">
        <v>186</v>
      </c>
      <c r="AR4" t="s">
        <v>186</v>
      </c>
      <c r="AS4" t="s">
        <v>186</v>
      </c>
      <c r="AT4" t="s">
        <v>186</v>
      </c>
      <c r="AU4" t="s">
        <v>186</v>
      </c>
      <c r="AV4" t="s">
        <v>186</v>
      </c>
      <c r="AW4" t="s">
        <v>662</v>
      </c>
      <c r="AX4" t="s">
        <v>662</v>
      </c>
      <c r="AY4" t="s">
        <v>186</v>
      </c>
      <c r="AZ4" t="s">
        <v>186</v>
      </c>
      <c r="BA4" t="s">
        <v>186</v>
      </c>
      <c r="BB4" t="s">
        <v>186</v>
      </c>
      <c r="BC4" t="s">
        <v>186</v>
      </c>
      <c r="BD4" t="s">
        <v>186</v>
      </c>
      <c r="BE4" t="s">
        <v>186</v>
      </c>
      <c r="BF4" t="s">
        <v>186</v>
      </c>
      <c r="BG4" t="s">
        <v>186</v>
      </c>
      <c r="BH4" t="s">
        <v>186</v>
      </c>
      <c r="BI4" t="s">
        <v>186</v>
      </c>
      <c r="BJ4" t="s">
        <v>186</v>
      </c>
      <c r="BK4" t="s">
        <v>186</v>
      </c>
      <c r="BL4" t="s">
        <v>186</v>
      </c>
      <c r="BM4" t="s">
        <v>186</v>
      </c>
      <c r="BN4" t="s">
        <v>1399</v>
      </c>
      <c r="BO4" t="s">
        <v>1399</v>
      </c>
      <c r="BP4" s="32" t="s">
        <v>673</v>
      </c>
      <c r="BQ4" s="32" t="s">
        <v>186</v>
      </c>
      <c r="BR4" t="s">
        <v>186</v>
      </c>
      <c r="BS4" t="s">
        <v>1399</v>
      </c>
      <c r="BT4" t="s">
        <v>1399</v>
      </c>
      <c r="BU4" t="s">
        <v>186</v>
      </c>
      <c r="BV4" t="s">
        <v>662</v>
      </c>
      <c r="BW4" t="s">
        <v>186</v>
      </c>
      <c r="BX4" t="s">
        <v>186</v>
      </c>
      <c r="BY4" t="s">
        <v>186</v>
      </c>
      <c r="BZ4" t="s">
        <v>186</v>
      </c>
    </row>
    <row r="5" spans="1:78">
      <c r="B5" t="s">
        <v>1663</v>
      </c>
      <c r="C5" t="s">
        <v>1617</v>
      </c>
      <c r="D5" t="s">
        <v>1618</v>
      </c>
      <c r="E5" t="s">
        <v>1619</v>
      </c>
      <c r="F5" t="s">
        <v>196</v>
      </c>
      <c r="G5" t="s">
        <v>196</v>
      </c>
      <c r="H5" s="32" t="s">
        <v>1620</v>
      </c>
      <c r="I5" t="s">
        <v>198</v>
      </c>
      <c r="J5" t="s">
        <v>12</v>
      </c>
      <c r="K5" t="s">
        <v>187</v>
      </c>
      <c r="L5" t="s">
        <v>683</v>
      </c>
      <c r="M5" t="s">
        <v>188</v>
      </c>
      <c r="N5" t="s">
        <v>194</v>
      </c>
      <c r="O5" t="s">
        <v>680</v>
      </c>
      <c r="P5" t="s">
        <v>22</v>
      </c>
      <c r="Q5" t="s">
        <v>1621</v>
      </c>
      <c r="R5" t="s">
        <v>192</v>
      </c>
      <c r="S5" t="s">
        <v>1622</v>
      </c>
      <c r="T5" t="s">
        <v>443</v>
      </c>
      <c r="U5" t="s">
        <v>1297</v>
      </c>
      <c r="V5" t="s">
        <v>1623</v>
      </c>
      <c r="W5" t="s">
        <v>1624</v>
      </c>
      <c r="X5" t="s">
        <v>1865</v>
      </c>
      <c r="Y5" t="s">
        <v>1625</v>
      </c>
      <c r="Z5" t="s">
        <v>678</v>
      </c>
      <c r="AA5" t="s">
        <v>1626</v>
      </c>
      <c r="AB5" t="s">
        <v>1627</v>
      </c>
      <c r="AC5" t="s">
        <v>391</v>
      </c>
      <c r="AD5" t="s">
        <v>327</v>
      </c>
      <c r="AE5" t="s">
        <v>1752</v>
      </c>
      <c r="AF5" t="s">
        <v>1880</v>
      </c>
      <c r="AG5" t="s">
        <v>218</v>
      </c>
      <c r="AH5" t="s">
        <v>1615</v>
      </c>
      <c r="AI5" t="s">
        <v>1616</v>
      </c>
      <c r="AJ5" t="s">
        <v>1629</v>
      </c>
      <c r="AK5" t="s">
        <v>28</v>
      </c>
      <c r="AL5" t="s">
        <v>1630</v>
      </c>
      <c r="AM5" t="s">
        <v>482</v>
      </c>
      <c r="AN5" t="s">
        <v>1631</v>
      </c>
      <c r="AO5" t="s">
        <v>1634</v>
      </c>
      <c r="AP5" t="s">
        <v>274</v>
      </c>
      <c r="AQ5" t="s">
        <v>277</v>
      </c>
      <c r="AR5" s="100" t="s">
        <v>474</v>
      </c>
      <c r="AS5" t="s">
        <v>1632</v>
      </c>
      <c r="AT5" t="s">
        <v>1633</v>
      </c>
      <c r="AU5" t="s">
        <v>483</v>
      </c>
      <c r="AV5" t="s">
        <v>1633</v>
      </c>
      <c r="AW5" t="s">
        <v>663</v>
      </c>
      <c r="AX5" t="s">
        <v>1635</v>
      </c>
      <c r="AY5" s="113" t="s">
        <v>694</v>
      </c>
      <c r="AZ5" s="113" t="s">
        <v>1636</v>
      </c>
      <c r="BA5" t="s">
        <v>1637</v>
      </c>
      <c r="BB5" t="s">
        <v>2001</v>
      </c>
      <c r="BC5" t="s">
        <v>1638</v>
      </c>
      <c r="BD5" t="s">
        <v>1760</v>
      </c>
      <c r="BE5" t="s">
        <v>1992</v>
      </c>
      <c r="BF5" s="32" t="s">
        <v>1639</v>
      </c>
      <c r="BG5" s="32" t="s">
        <v>1854</v>
      </c>
      <c r="BH5" s="113" t="s">
        <v>1762</v>
      </c>
      <c r="BI5" s="32" t="s">
        <v>1862</v>
      </c>
      <c r="BJ5" s="32" t="s">
        <v>1610</v>
      </c>
      <c r="BK5" s="32" t="s">
        <v>319</v>
      </c>
      <c r="BL5" t="s">
        <v>342</v>
      </c>
      <c r="BM5" s="32" t="s">
        <v>534</v>
      </c>
      <c r="BN5" s="32">
        <v>18</v>
      </c>
      <c r="BO5" s="32">
        <v>24</v>
      </c>
      <c r="BP5" s="32" t="s">
        <v>1914</v>
      </c>
      <c r="BQ5" s="32" t="s">
        <v>526</v>
      </c>
      <c r="BR5" s="32" t="s">
        <v>534</v>
      </c>
      <c r="BS5" s="392">
        <v>0.01</v>
      </c>
      <c r="BT5" s="392">
        <v>0.1</v>
      </c>
      <c r="BU5" t="s">
        <v>1640</v>
      </c>
      <c r="BV5" t="s">
        <v>297</v>
      </c>
      <c r="BW5" s="32" t="s">
        <v>431</v>
      </c>
      <c r="BX5" t="s">
        <v>419</v>
      </c>
      <c r="BY5" t="s">
        <v>1641</v>
      </c>
      <c r="BZ5" t="s">
        <v>1773</v>
      </c>
    </row>
    <row r="6" spans="1:78">
      <c r="C6" t="s">
        <v>1642</v>
      </c>
      <c r="D6" t="s">
        <v>1643</v>
      </c>
      <c r="E6" t="s">
        <v>1644</v>
      </c>
      <c r="F6" t="s">
        <v>197</v>
      </c>
      <c r="G6" t="s">
        <v>197</v>
      </c>
      <c r="H6" t="s">
        <v>1745</v>
      </c>
      <c r="I6" t="s">
        <v>199</v>
      </c>
      <c r="J6" t="s">
        <v>13</v>
      </c>
      <c r="K6" s="401" t="s">
        <v>238</v>
      </c>
      <c r="L6" t="s">
        <v>239</v>
      </c>
      <c r="M6" t="s">
        <v>189</v>
      </c>
      <c r="N6" t="s">
        <v>195</v>
      </c>
      <c r="O6" t="s">
        <v>681</v>
      </c>
      <c r="P6" t="s">
        <v>21</v>
      </c>
      <c r="Q6" t="s">
        <v>1645</v>
      </c>
      <c r="R6" t="s">
        <v>193</v>
      </c>
      <c r="S6" t="s">
        <v>1646</v>
      </c>
      <c r="T6" t="s">
        <v>444</v>
      </c>
      <c r="U6" t="s">
        <v>444</v>
      </c>
      <c r="V6" t="s">
        <v>1647</v>
      </c>
      <c r="W6" t="s">
        <v>1648</v>
      </c>
      <c r="X6" t="s">
        <v>1866</v>
      </c>
      <c r="Y6" t="s">
        <v>1649</v>
      </c>
      <c r="Z6" t="s">
        <v>1868</v>
      </c>
      <c r="AA6" t="s">
        <v>1650</v>
      </c>
      <c r="AB6" t="s">
        <v>446</v>
      </c>
      <c r="AC6" t="s">
        <v>1400</v>
      </c>
      <c r="AD6" t="s">
        <v>328</v>
      </c>
      <c r="AE6" t="s">
        <v>1753</v>
      </c>
      <c r="AF6" t="s">
        <v>1881</v>
      </c>
      <c r="AG6" t="s">
        <v>219</v>
      </c>
      <c r="AH6" t="s">
        <v>1628</v>
      </c>
      <c r="AI6" t="s">
        <v>1628</v>
      </c>
      <c r="AJ6" t="s">
        <v>1652</v>
      </c>
      <c r="AK6" t="s">
        <v>7</v>
      </c>
      <c r="AL6" t="s">
        <v>1653</v>
      </c>
      <c r="AN6" t="s">
        <v>1654</v>
      </c>
      <c r="AO6" t="s">
        <v>1655</v>
      </c>
      <c r="AP6" t="s">
        <v>275</v>
      </c>
      <c r="AQ6" t="s">
        <v>278</v>
      </c>
      <c r="AR6" s="100" t="s">
        <v>475</v>
      </c>
      <c r="AT6" t="s">
        <v>478</v>
      </c>
      <c r="AU6" t="s">
        <v>484</v>
      </c>
      <c r="AV6" t="s">
        <v>488</v>
      </c>
      <c r="AW6" t="s">
        <v>2095</v>
      </c>
      <c r="AX6" t="s">
        <v>1656</v>
      </c>
      <c r="AY6" s="113" t="s">
        <v>695</v>
      </c>
      <c r="AZ6" s="113" t="s">
        <v>1657</v>
      </c>
      <c r="BA6" s="113" t="s">
        <v>1658</v>
      </c>
      <c r="BB6" t="s">
        <v>2002</v>
      </c>
      <c r="BC6" s="113" t="s">
        <v>1659</v>
      </c>
      <c r="BD6" t="s">
        <v>1761</v>
      </c>
      <c r="BE6" t="s">
        <v>1993</v>
      </c>
      <c r="BF6" s="32" t="s">
        <v>317</v>
      </c>
      <c r="BG6" s="32" t="s">
        <v>1855</v>
      </c>
      <c r="BH6" s="113" t="s">
        <v>2006</v>
      </c>
      <c r="BI6" s="32" t="s">
        <v>1863</v>
      </c>
      <c r="BJ6" s="32"/>
      <c r="BK6" s="32" t="s">
        <v>320</v>
      </c>
      <c r="BL6" t="s">
        <v>343</v>
      </c>
      <c r="BM6" s="32" t="s">
        <v>524</v>
      </c>
      <c r="BN6" s="32">
        <v>25</v>
      </c>
      <c r="BO6" s="32">
        <v>34</v>
      </c>
      <c r="BP6" s="32" t="s">
        <v>1915</v>
      </c>
      <c r="BQ6" s="32" t="s">
        <v>1918</v>
      </c>
      <c r="BR6" s="32" t="s">
        <v>1660</v>
      </c>
      <c r="BS6" s="392">
        <v>0.11</v>
      </c>
      <c r="BT6" s="392">
        <v>0.2</v>
      </c>
      <c r="BU6" t="s">
        <v>1661</v>
      </c>
      <c r="BV6" t="s">
        <v>703</v>
      </c>
      <c r="BW6" s="32" t="s">
        <v>432</v>
      </c>
      <c r="BX6" t="s">
        <v>420</v>
      </c>
      <c r="BY6" t="s">
        <v>1662</v>
      </c>
      <c r="BZ6" t="s">
        <v>1774</v>
      </c>
    </row>
    <row r="7" spans="1:78">
      <c r="C7" t="s">
        <v>1664</v>
      </c>
      <c r="H7" s="32"/>
      <c r="J7" t="s">
        <v>1665</v>
      </c>
      <c r="K7" t="s">
        <v>240</v>
      </c>
      <c r="L7" t="s">
        <v>2098</v>
      </c>
      <c r="O7" t="s">
        <v>1666</v>
      </c>
      <c r="V7" t="s">
        <v>1667</v>
      </c>
      <c r="W7" t="s">
        <v>1668</v>
      </c>
      <c r="X7" t="s">
        <v>1867</v>
      </c>
      <c r="AC7" t="s">
        <v>1401</v>
      </c>
      <c r="AD7" t="s">
        <v>329</v>
      </c>
      <c r="AF7" t="s">
        <v>1882</v>
      </c>
      <c r="AG7" t="s">
        <v>220</v>
      </c>
      <c r="AH7" t="s">
        <v>1651</v>
      </c>
      <c r="AI7" t="s">
        <v>1651</v>
      </c>
      <c r="AJ7" t="s">
        <v>7</v>
      </c>
      <c r="AL7" t="s">
        <v>1670</v>
      </c>
      <c r="AN7" t="s">
        <v>270</v>
      </c>
      <c r="AO7" t="s">
        <v>1672</v>
      </c>
      <c r="AP7" t="s">
        <v>276</v>
      </c>
      <c r="AQ7" t="s">
        <v>279</v>
      </c>
      <c r="AT7" t="s">
        <v>1671</v>
      </c>
      <c r="AU7" t="s">
        <v>485</v>
      </c>
      <c r="AV7" t="s">
        <v>1673</v>
      </c>
      <c r="AY7" s="113" t="s">
        <v>1674</v>
      </c>
      <c r="AZ7" s="113" t="s">
        <v>1675</v>
      </c>
      <c r="BE7" t="s">
        <v>1994</v>
      </c>
      <c r="BF7" s="32"/>
      <c r="BG7" s="32" t="s">
        <v>1856</v>
      </c>
      <c r="BH7" s="32"/>
      <c r="BI7" s="32" t="s">
        <v>1864</v>
      </c>
      <c r="BJ7" s="32"/>
      <c r="BM7" s="32" t="s">
        <v>525</v>
      </c>
      <c r="BN7" s="32">
        <v>35</v>
      </c>
      <c r="BO7" s="32">
        <v>44</v>
      </c>
      <c r="BP7" s="32"/>
      <c r="BQ7" s="32" t="s">
        <v>1919</v>
      </c>
      <c r="BR7" s="32" t="s">
        <v>1676</v>
      </c>
      <c r="BS7" s="392">
        <v>0.21</v>
      </c>
      <c r="BT7" s="392">
        <v>0.3</v>
      </c>
      <c r="BU7" t="s">
        <v>1677</v>
      </c>
      <c r="BV7" t="s">
        <v>704</v>
      </c>
      <c r="BX7" t="s">
        <v>421</v>
      </c>
      <c r="BY7" t="s">
        <v>1678</v>
      </c>
      <c r="BZ7" t="s">
        <v>1775</v>
      </c>
    </row>
    <row r="8" spans="1:78">
      <c r="C8" t="s">
        <v>1679</v>
      </c>
      <c r="H8" s="32"/>
      <c r="K8" t="s">
        <v>190</v>
      </c>
      <c r="L8" t="s">
        <v>1445</v>
      </c>
      <c r="V8" t="s">
        <v>1680</v>
      </c>
      <c r="AC8" t="s">
        <v>1402</v>
      </c>
      <c r="AH8" t="s">
        <v>1669</v>
      </c>
      <c r="AL8" t="s">
        <v>1681</v>
      </c>
      <c r="AN8" t="s">
        <v>271</v>
      </c>
      <c r="AO8" t="s">
        <v>1683</v>
      </c>
      <c r="AQ8" t="s">
        <v>280</v>
      </c>
      <c r="AT8" t="s">
        <v>1682</v>
      </c>
      <c r="AU8" t="s">
        <v>486</v>
      </c>
      <c r="AY8" s="113" t="s">
        <v>1684</v>
      </c>
      <c r="AZ8" s="113" t="s">
        <v>1685</v>
      </c>
      <c r="BF8" s="32"/>
      <c r="BG8" s="32" t="s">
        <v>1857</v>
      </c>
      <c r="BH8" s="32"/>
      <c r="BI8" s="32"/>
      <c r="BJ8" s="32"/>
      <c r="BM8" s="32" t="s">
        <v>535</v>
      </c>
      <c r="BN8" s="32">
        <v>45</v>
      </c>
      <c r="BO8" s="32">
        <v>54</v>
      </c>
      <c r="BP8" s="32"/>
      <c r="BQ8" s="32" t="s">
        <v>1920</v>
      </c>
      <c r="BR8" s="32" t="s">
        <v>1686</v>
      </c>
      <c r="BS8" s="392">
        <v>0.31</v>
      </c>
      <c r="BT8" s="392">
        <v>0.4</v>
      </c>
      <c r="BU8" t="s">
        <v>1687</v>
      </c>
      <c r="BV8" t="s">
        <v>1688</v>
      </c>
      <c r="BX8" t="s">
        <v>422</v>
      </c>
      <c r="BY8" t="s">
        <v>1689</v>
      </c>
      <c r="BZ8" t="s">
        <v>1778</v>
      </c>
    </row>
    <row r="9" spans="1:78">
      <c r="H9" s="32"/>
      <c r="K9" t="s">
        <v>191</v>
      </c>
      <c r="L9" t="s">
        <v>241</v>
      </c>
      <c r="V9" t="s">
        <v>1690</v>
      </c>
      <c r="AC9" t="s">
        <v>1403</v>
      </c>
      <c r="AL9" t="s">
        <v>1691</v>
      </c>
      <c r="AN9" t="s">
        <v>272</v>
      </c>
      <c r="AO9" t="s">
        <v>1692</v>
      </c>
      <c r="AQ9" t="s">
        <v>281</v>
      </c>
      <c r="AT9" t="s">
        <v>479</v>
      </c>
      <c r="AY9" s="113" t="s">
        <v>1693</v>
      </c>
      <c r="AZ9" s="113" t="s">
        <v>1694</v>
      </c>
      <c r="BF9" s="32"/>
      <c r="BG9" s="32" t="s">
        <v>1858</v>
      </c>
      <c r="BH9" s="32"/>
      <c r="BI9" s="32"/>
      <c r="BJ9" s="32"/>
      <c r="BM9" s="32" t="s">
        <v>536</v>
      </c>
      <c r="BN9" s="32">
        <v>55</v>
      </c>
      <c r="BO9" s="32">
        <v>64</v>
      </c>
      <c r="BP9" s="32"/>
      <c r="BQ9" s="32" t="s">
        <v>1921</v>
      </c>
      <c r="BR9" s="32" t="s">
        <v>1695</v>
      </c>
      <c r="BS9" s="392">
        <v>0.41</v>
      </c>
      <c r="BT9" s="392">
        <v>0.5</v>
      </c>
      <c r="BV9" t="s">
        <v>705</v>
      </c>
      <c r="BX9" t="s">
        <v>423</v>
      </c>
      <c r="BY9" t="s">
        <v>1696</v>
      </c>
    </row>
    <row r="10" spans="1:78">
      <c r="H10" s="32"/>
      <c r="V10" t="s">
        <v>1697</v>
      </c>
      <c r="AC10" t="s">
        <v>1404</v>
      </c>
      <c r="AL10" t="s">
        <v>1698</v>
      </c>
      <c r="AN10" t="s">
        <v>273</v>
      </c>
      <c r="AO10" t="s">
        <v>1699</v>
      </c>
      <c r="AQ10" t="s">
        <v>282</v>
      </c>
      <c r="AT10" t="s">
        <v>480</v>
      </c>
      <c r="AY10" s="32"/>
      <c r="AZ10" s="113" t="s">
        <v>1700</v>
      </c>
      <c r="BF10" s="32"/>
      <c r="BG10" s="32" t="s">
        <v>1859</v>
      </c>
      <c r="BH10" s="32"/>
      <c r="BI10" s="32"/>
      <c r="BJ10" s="32"/>
      <c r="BM10" s="32" t="s">
        <v>537</v>
      </c>
      <c r="BN10" s="32" t="s">
        <v>1910</v>
      </c>
      <c r="BO10" s="32"/>
      <c r="BP10" s="32"/>
      <c r="BQ10" s="32" t="s">
        <v>1922</v>
      </c>
      <c r="BR10" s="32" t="s">
        <v>1701</v>
      </c>
      <c r="BS10" s="392">
        <v>0.51</v>
      </c>
      <c r="BT10" s="32"/>
      <c r="BX10" t="s">
        <v>424</v>
      </c>
      <c r="BY10" t="s">
        <v>1702</v>
      </c>
    </row>
    <row r="11" spans="1:78">
      <c r="H11" s="32"/>
      <c r="V11" t="s">
        <v>1703</v>
      </c>
      <c r="AC11" t="s">
        <v>1405</v>
      </c>
      <c r="AL11" t="s">
        <v>1704</v>
      </c>
      <c r="AN11" t="s">
        <v>1705</v>
      </c>
      <c r="AO11" t="s">
        <v>1707</v>
      </c>
      <c r="AT11" t="s">
        <v>1706</v>
      </c>
      <c r="AY11" s="32"/>
      <c r="AZ11" s="113" t="s">
        <v>1708</v>
      </c>
      <c r="BF11" s="32"/>
      <c r="BG11" s="32" t="s">
        <v>1860</v>
      </c>
      <c r="BH11" s="32"/>
      <c r="BI11" s="32"/>
      <c r="BJ11" s="32"/>
      <c r="BM11" s="32" t="s">
        <v>538</v>
      </c>
      <c r="BN11" s="32"/>
      <c r="BO11" s="32"/>
      <c r="BP11" s="32"/>
      <c r="BQ11" s="32" t="s">
        <v>1923</v>
      </c>
      <c r="BR11" s="113" t="s">
        <v>1709</v>
      </c>
      <c r="BS11" s="113"/>
      <c r="BT11" s="113"/>
      <c r="BX11" t="s">
        <v>425</v>
      </c>
      <c r="BY11" t="s">
        <v>1710</v>
      </c>
    </row>
    <row r="12" spans="1:78">
      <c r="H12" s="32"/>
      <c r="AC12" t="s">
        <v>1406</v>
      </c>
      <c r="AL12" t="s">
        <v>212</v>
      </c>
      <c r="AN12" t="s">
        <v>1711</v>
      </c>
      <c r="AO12" t="s">
        <v>1712</v>
      </c>
      <c r="AQ12" s="50"/>
      <c r="AT12" t="s">
        <v>481</v>
      </c>
      <c r="AY12" s="32"/>
      <c r="AZ12" s="113" t="s">
        <v>1713</v>
      </c>
      <c r="BF12" s="32"/>
      <c r="BG12" s="32" t="s">
        <v>1861</v>
      </c>
      <c r="BH12" s="32"/>
      <c r="BI12" s="32"/>
      <c r="BJ12" s="32"/>
      <c r="BX12" t="s">
        <v>426</v>
      </c>
    </row>
    <row r="13" spans="1:78">
      <c r="AC13" t="s">
        <v>1407</v>
      </c>
      <c r="AL13" t="s">
        <v>213</v>
      </c>
      <c r="AN13" t="s">
        <v>1714</v>
      </c>
      <c r="AO13" t="s">
        <v>1716</v>
      </c>
      <c r="AT13" t="s">
        <v>1715</v>
      </c>
      <c r="AZ13" s="113" t="s">
        <v>1717</v>
      </c>
      <c r="BX13" t="s">
        <v>427</v>
      </c>
    </row>
    <row r="14" spans="1:78">
      <c r="AC14" t="s">
        <v>1408</v>
      </c>
      <c r="AL14" t="s">
        <v>214</v>
      </c>
      <c r="AO14" t="s">
        <v>1719</v>
      </c>
      <c r="AT14" t="s">
        <v>1718</v>
      </c>
      <c r="AZ14" s="113" t="s">
        <v>1720</v>
      </c>
      <c r="BX14" t="s">
        <v>428</v>
      </c>
    </row>
    <row r="15" spans="1:78">
      <c r="AC15" t="s">
        <v>1409</v>
      </c>
      <c r="AL15" t="s">
        <v>215</v>
      </c>
      <c r="AO15" t="s">
        <v>1722</v>
      </c>
      <c r="AT15" t="s">
        <v>1721</v>
      </c>
    </row>
    <row r="16" spans="1:78">
      <c r="AC16" t="s">
        <v>1410</v>
      </c>
      <c r="AL16" t="s">
        <v>216</v>
      </c>
      <c r="AO16" t="s">
        <v>1724</v>
      </c>
      <c r="AT16" t="s">
        <v>1723</v>
      </c>
    </row>
    <row r="17" spans="29:41">
      <c r="AC17" t="s">
        <v>1411</v>
      </c>
      <c r="AL17" t="s">
        <v>217</v>
      </c>
      <c r="AO17" t="s">
        <v>1725</v>
      </c>
    </row>
    <row r="18" spans="29:41">
      <c r="AC18" t="s">
        <v>1412</v>
      </c>
      <c r="AO18" t="s">
        <v>1726</v>
      </c>
    </row>
    <row r="19" spans="29:41">
      <c r="AC19" t="s">
        <v>1413</v>
      </c>
      <c r="AO19" t="s">
        <v>1727</v>
      </c>
    </row>
    <row r="20" spans="29:41">
      <c r="AC20" t="s">
        <v>1414</v>
      </c>
      <c r="AO20" t="s">
        <v>1728</v>
      </c>
    </row>
    <row r="21" spans="29:41">
      <c r="AC21" t="s">
        <v>1415</v>
      </c>
      <c r="AO21" t="s">
        <v>1729</v>
      </c>
    </row>
    <row r="22" spans="29:41">
      <c r="AC22" t="s">
        <v>1416</v>
      </c>
      <c r="AO22" t="s">
        <v>1730</v>
      </c>
    </row>
    <row r="23" spans="29:41">
      <c r="AC23" t="s">
        <v>1417</v>
      </c>
      <c r="AO23" t="s">
        <v>1731</v>
      </c>
    </row>
    <row r="24" spans="29:41">
      <c r="AC24" t="s">
        <v>1418</v>
      </c>
      <c r="AO24" t="s">
        <v>1732</v>
      </c>
    </row>
    <row r="25" spans="29:41">
      <c r="AC25" t="s">
        <v>1419</v>
      </c>
      <c r="AO25" t="s">
        <v>1733</v>
      </c>
    </row>
    <row r="26" spans="29:41">
      <c r="AC26" t="s">
        <v>1420</v>
      </c>
      <c r="AO26" t="s">
        <v>1734</v>
      </c>
    </row>
    <row r="27" spans="29:41">
      <c r="AC27" t="s">
        <v>1421</v>
      </c>
      <c r="AO27" t="s">
        <v>1735</v>
      </c>
    </row>
    <row r="28" spans="29:41">
      <c r="AC28" t="s">
        <v>1422</v>
      </c>
      <c r="AO28" t="s">
        <v>1736</v>
      </c>
    </row>
    <row r="29" spans="29:41">
      <c r="AC29" t="s">
        <v>1423</v>
      </c>
    </row>
    <row r="30" spans="29:41">
      <c r="AC30" t="s">
        <v>1424</v>
      </c>
    </row>
    <row r="31" spans="29:41">
      <c r="AC31" t="s">
        <v>1425</v>
      </c>
    </row>
    <row r="32" spans="29:41">
      <c r="AC32" t="s">
        <v>1426</v>
      </c>
    </row>
    <row r="33" spans="29:29">
      <c r="AC33" t="s">
        <v>1427</v>
      </c>
    </row>
    <row r="34" spans="29:29">
      <c r="AC34" t="s">
        <v>1428</v>
      </c>
    </row>
    <row r="35" spans="29:29">
      <c r="AC35" t="s">
        <v>1429</v>
      </c>
    </row>
    <row r="36" spans="29:29">
      <c r="AC36" t="s">
        <v>1430</v>
      </c>
    </row>
    <row r="37" spans="29:29">
      <c r="AC37" t="s">
        <v>1431</v>
      </c>
    </row>
    <row r="38" spans="29:29">
      <c r="AC38" t="s">
        <v>1432</v>
      </c>
    </row>
    <row r="39" spans="29:29">
      <c r="AC39" t="s">
        <v>1433</v>
      </c>
    </row>
    <row r="40" spans="29:29">
      <c r="AC40" t="s">
        <v>1434</v>
      </c>
    </row>
    <row r="41" spans="29:29">
      <c r="AC41" t="s">
        <v>1435</v>
      </c>
    </row>
    <row r="42" spans="29:29">
      <c r="AC42" t="s">
        <v>1436</v>
      </c>
    </row>
    <row r="43" spans="29:29">
      <c r="AC43" t="s">
        <v>1437</v>
      </c>
    </row>
    <row r="44" spans="29:29">
      <c r="AC44" t="s">
        <v>1438</v>
      </c>
    </row>
    <row r="45" spans="29:29">
      <c r="AC45" t="s">
        <v>1439</v>
      </c>
    </row>
    <row r="46" spans="29:29">
      <c r="AC46" t="s">
        <v>1440</v>
      </c>
    </row>
    <row r="47" spans="29:29">
      <c r="AC47" t="s">
        <v>1441</v>
      </c>
    </row>
    <row r="48" spans="29:29">
      <c r="AC48" t="s">
        <v>1442</v>
      </c>
    </row>
    <row r="49" spans="29:29">
      <c r="AC49" t="s">
        <v>1443</v>
      </c>
    </row>
    <row r="50" spans="29:29">
      <c r="AC50" t="s">
        <v>1444</v>
      </c>
    </row>
  </sheetData>
  <phoneticPr fontId="20"/>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5" tint="0.79998168889431442"/>
    <pageSetUpPr fitToPage="1"/>
  </sheetPr>
  <dimension ref="A1:I29"/>
  <sheetViews>
    <sheetView showGridLines="0" view="pageBreakPreview" zoomScale="85" zoomScaleNormal="130" zoomScaleSheetLayoutView="85" workbookViewId="0"/>
  </sheetViews>
  <sheetFormatPr defaultColWidth="10.109375" defaultRowHeight="19.5" customHeight="1"/>
  <cols>
    <col min="1" max="1" width="25" style="120" bestFit="1" customWidth="1"/>
    <col min="2" max="2" width="8.6640625" style="372" bestFit="1" customWidth="1"/>
    <col min="3" max="4" width="56.5546875" style="115" customWidth="1"/>
    <col min="5" max="5" width="36.21875" style="115" customWidth="1"/>
    <col min="6" max="6" width="22.109375" style="115" customWidth="1"/>
    <col min="7" max="8" width="10.77734375" style="115" customWidth="1"/>
    <col min="9" max="9" width="84.88671875" style="115" customWidth="1"/>
    <col min="10" max="13" width="22" style="115" customWidth="1"/>
    <col min="14" max="16384" width="10.109375" style="115"/>
  </cols>
  <sheetData>
    <row r="1" spans="1:9" ht="19.5" customHeight="1">
      <c r="A1" s="114" t="str">
        <f>"Ver."&amp;変更履歴!$B$1</f>
        <v>Ver.10.1</v>
      </c>
      <c r="B1" s="369"/>
    </row>
    <row r="2" spans="1:9" ht="19.5" customHeight="1">
      <c r="A2" s="116" t="s">
        <v>61</v>
      </c>
      <c r="B2" s="370"/>
    </row>
    <row r="3" spans="1:9" ht="19.5" customHeight="1">
      <c r="A3" s="116"/>
      <c r="B3" s="370"/>
      <c r="E3" s="116"/>
      <c r="F3" s="116"/>
      <c r="G3" s="116"/>
      <c r="H3" s="116"/>
      <c r="I3" s="116"/>
    </row>
    <row r="4" spans="1:9" ht="19.5" customHeight="1">
      <c r="A4" s="367" t="s">
        <v>434</v>
      </c>
      <c r="B4" s="371" t="s">
        <v>1891</v>
      </c>
      <c r="C4" s="131"/>
      <c r="E4" s="116"/>
      <c r="F4" s="116"/>
      <c r="G4" s="116"/>
      <c r="H4" s="116"/>
      <c r="I4" s="116"/>
    </row>
    <row r="5" spans="1:9" ht="19.5" customHeight="1">
      <c r="A5" s="367" t="s">
        <v>435</v>
      </c>
      <c r="B5" s="371" t="s">
        <v>1891</v>
      </c>
      <c r="C5" s="131"/>
      <c r="E5" s="116"/>
      <c r="F5" s="116"/>
      <c r="G5" s="116"/>
      <c r="H5" s="116"/>
      <c r="I5" s="116"/>
    </row>
    <row r="6" spans="1:9" ht="19.5" customHeight="1">
      <c r="A6" s="367" t="s">
        <v>595</v>
      </c>
      <c r="B6" s="379"/>
      <c r="C6" s="128">
        <f>C17+D17</f>
        <v>0</v>
      </c>
      <c r="E6" s="116"/>
      <c r="F6" s="116"/>
      <c r="G6" s="116"/>
      <c r="H6" s="116"/>
      <c r="I6" s="116"/>
    </row>
    <row r="7" spans="1:9" ht="19.149999999999999" customHeight="1">
      <c r="A7" s="367" t="s">
        <v>436</v>
      </c>
      <c r="B7" s="380" t="s">
        <v>1891</v>
      </c>
      <c r="C7" s="132" t="s">
        <v>549</v>
      </c>
      <c r="E7" s="116"/>
      <c r="F7" s="116"/>
      <c r="G7" s="116"/>
      <c r="H7" s="116"/>
      <c r="I7" s="116"/>
    </row>
    <row r="8" spans="1:9" ht="19.5" customHeight="1">
      <c r="A8" s="367" t="s">
        <v>438</v>
      </c>
      <c r="B8" s="379"/>
      <c r="C8" s="131"/>
      <c r="E8" s="116"/>
      <c r="F8" s="116"/>
      <c r="G8" s="116"/>
      <c r="H8" s="116"/>
      <c r="I8" s="116"/>
    </row>
    <row r="9" spans="1:9" ht="19.5" customHeight="1">
      <c r="A9" s="367" t="s">
        <v>554</v>
      </c>
      <c r="B9" s="380" t="s">
        <v>1891</v>
      </c>
      <c r="C9" s="132" t="s">
        <v>186</v>
      </c>
      <c r="E9" s="116"/>
      <c r="F9" s="116"/>
      <c r="G9" s="116"/>
      <c r="H9" s="116"/>
      <c r="I9" s="116"/>
    </row>
    <row r="10" spans="1:9" ht="19.5" customHeight="1">
      <c r="A10" s="367" t="s">
        <v>555</v>
      </c>
      <c r="B10" s="380" t="s">
        <v>1891</v>
      </c>
      <c r="C10" s="132" t="s">
        <v>186</v>
      </c>
      <c r="E10" s="116"/>
      <c r="F10" s="116"/>
      <c r="G10" s="116"/>
      <c r="H10" s="116"/>
      <c r="I10" s="116"/>
    </row>
    <row r="11" spans="1:9" ht="19.5" customHeight="1">
      <c r="A11" s="367" t="s">
        <v>571</v>
      </c>
      <c r="B11" s="379"/>
      <c r="C11" s="131"/>
      <c r="E11" s="116"/>
      <c r="F11" s="116"/>
      <c r="G11" s="116"/>
      <c r="H11" s="116"/>
      <c r="I11" s="116"/>
    </row>
    <row r="12" spans="1:9" ht="19.5" customHeight="1">
      <c r="A12" s="114"/>
      <c r="B12" s="369"/>
    </row>
    <row r="13" spans="1:9" ht="19.5" customHeight="1">
      <c r="A13" s="130" t="s">
        <v>18</v>
      </c>
      <c r="B13" s="381"/>
      <c r="C13" s="136" t="s">
        <v>1537</v>
      </c>
      <c r="D13" s="137" t="s">
        <v>1538</v>
      </c>
    </row>
    <row r="14" spans="1:9" ht="19.5" customHeight="1">
      <c r="A14" s="130" t="s">
        <v>587</v>
      </c>
      <c r="B14" s="382" t="s">
        <v>1891</v>
      </c>
      <c r="C14" s="133"/>
      <c r="D14" s="122"/>
    </row>
    <row r="15" spans="1:9" ht="22.5" customHeight="1">
      <c r="A15" s="130" t="s">
        <v>284</v>
      </c>
      <c r="B15" s="382" t="s">
        <v>1891</v>
      </c>
      <c r="C15" s="118"/>
      <c r="D15" s="122"/>
    </row>
    <row r="16" spans="1:9" ht="19.5" customHeight="1">
      <c r="A16" s="130" t="s">
        <v>285</v>
      </c>
      <c r="B16" s="382" t="s">
        <v>1891</v>
      </c>
      <c r="C16" s="118"/>
      <c r="D16" s="122"/>
    </row>
    <row r="17" spans="1:5" ht="19.5" customHeight="1">
      <c r="A17" s="130" t="s">
        <v>569</v>
      </c>
      <c r="B17" s="382" t="s">
        <v>1891</v>
      </c>
      <c r="C17" s="134"/>
      <c r="D17" s="135"/>
    </row>
    <row r="18" spans="1:5" ht="19.5" customHeight="1">
      <c r="A18" s="368" t="s">
        <v>1554</v>
      </c>
      <c r="B18" s="382" t="s">
        <v>1891</v>
      </c>
      <c r="C18" s="346"/>
      <c r="D18" s="347"/>
    </row>
    <row r="19" spans="1:5" ht="19.5" customHeight="1">
      <c r="A19" s="130" t="s">
        <v>543</v>
      </c>
      <c r="B19" s="382" t="s">
        <v>1891</v>
      </c>
      <c r="C19" s="129" t="s">
        <v>186</v>
      </c>
      <c r="D19" s="122" t="s">
        <v>186</v>
      </c>
    </row>
    <row r="20" spans="1:5" ht="19.5" customHeight="1">
      <c r="A20" s="130" t="s">
        <v>588</v>
      </c>
      <c r="B20" s="382" t="s">
        <v>1891</v>
      </c>
      <c r="C20" s="129"/>
      <c r="D20" s="122"/>
      <c r="E20" s="115" t="s">
        <v>550</v>
      </c>
    </row>
    <row r="21" spans="1:5" ht="19.5" customHeight="1">
      <c r="A21" s="130" t="s">
        <v>589</v>
      </c>
      <c r="B21" s="382" t="s">
        <v>1891</v>
      </c>
      <c r="C21" s="129"/>
      <c r="D21" s="122"/>
      <c r="E21" s="115" t="s">
        <v>551</v>
      </c>
    </row>
    <row r="22" spans="1:5" ht="19.5" customHeight="1">
      <c r="A22" s="130" t="s">
        <v>552</v>
      </c>
      <c r="B22" s="383"/>
      <c r="C22" s="122" t="s">
        <v>186</v>
      </c>
      <c r="D22" s="122" t="s">
        <v>186</v>
      </c>
    </row>
    <row r="23" spans="1:5" ht="29.25" customHeight="1">
      <c r="A23" s="130" t="s">
        <v>439</v>
      </c>
      <c r="B23" s="381"/>
      <c r="C23" s="129"/>
      <c r="D23" s="122"/>
      <c r="E23" s="115" t="s">
        <v>553</v>
      </c>
    </row>
    <row r="24" spans="1:5" ht="19.5" customHeight="1">
      <c r="A24" s="130" t="s">
        <v>288</v>
      </c>
      <c r="B24" s="383"/>
      <c r="C24" s="122" t="s">
        <v>186</v>
      </c>
      <c r="D24" s="122" t="s">
        <v>186</v>
      </c>
    </row>
    <row r="25" spans="1:5" ht="117.75" customHeight="1">
      <c r="A25" s="130" t="s">
        <v>5</v>
      </c>
      <c r="B25" s="381"/>
      <c r="C25" s="119" t="s">
        <v>548</v>
      </c>
      <c r="D25" s="123" t="s">
        <v>548</v>
      </c>
    </row>
    <row r="29" spans="1:5" ht="19.5" customHeight="1">
      <c r="C29" s="349"/>
    </row>
  </sheetData>
  <phoneticPr fontId="20"/>
  <dataValidations count="5">
    <dataValidation allowBlank="1" showInputMessage="1" sqref="C13:C14" xr:uid="{00000000-0002-0000-0600-000000000000}"/>
    <dataValidation type="list" allowBlank="1" showInputMessage="1" sqref="C22:D22 C24:D24" xr:uid="{00000000-0002-0000-0600-000001000000}">
      <formula1>CVタグ発行</formula1>
    </dataValidation>
    <dataValidation type="list" allowBlank="1" showInputMessage="1" showErrorMessage="1" sqref="C9:C10" xr:uid="{00000000-0002-0000-0600-000002000000}">
      <formula1>可否</formula1>
    </dataValidation>
    <dataValidation type="list" allowBlank="1" showInputMessage="1" showErrorMessage="1" sqref="C19:D19" xr:uid="{00000000-0002-0000-0600-000003000000}">
      <formula1>KPI</formula1>
    </dataValidation>
    <dataValidation type="list" allowBlank="1" showInputMessage="1" showErrorMessage="1" sqref="C7" xr:uid="{00000000-0002-0000-0600-000004000000}">
      <formula1>フィー方式</formula1>
    </dataValidation>
  </dataValidations>
  <pageMargins left="0.7" right="0.7" top="0.75" bottom="0.75" header="0.3" footer="0.3"/>
  <pageSetup paperSize="9" scale="53"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5" tint="0.79998168889431442"/>
    <pageSetUpPr fitToPage="1"/>
  </sheetPr>
  <dimension ref="A1:AG34"/>
  <sheetViews>
    <sheetView showGridLines="0" view="pageBreakPreview" zoomScale="85" zoomScaleNormal="130" zoomScaleSheetLayoutView="85" workbookViewId="0">
      <pane ySplit="6" topLeftCell="A7" activePane="bottomLeft" state="frozen"/>
      <selection pane="bottomLeft"/>
    </sheetView>
  </sheetViews>
  <sheetFormatPr defaultColWidth="10.109375" defaultRowHeight="19.5" customHeight="1"/>
  <cols>
    <col min="1" max="1" width="16" style="120" customWidth="1"/>
    <col min="2" max="2" width="8.5546875" style="120" bestFit="1" customWidth="1"/>
    <col min="3" max="3" width="25.77734375" style="115" customWidth="1"/>
    <col min="4" max="4" width="21.109375" style="115" customWidth="1"/>
    <col min="5" max="5" width="25.109375" style="115" customWidth="1"/>
    <col min="6" max="6" width="19.44140625" style="115" customWidth="1"/>
    <col min="7" max="7" width="23" style="115" customWidth="1"/>
    <col min="8" max="8" width="22" style="115" customWidth="1"/>
    <col min="9" max="9" width="17.21875" style="115" customWidth="1"/>
    <col min="10" max="10" width="10.88671875" style="115" customWidth="1"/>
    <col min="11" max="11" width="22" style="115" customWidth="1"/>
    <col min="12" max="12" width="18" style="115" customWidth="1"/>
    <col min="13" max="14" width="18.109375" style="115" customWidth="1"/>
    <col min="15" max="15" width="10.109375" style="115"/>
    <col min="16" max="16" width="10.44140625" style="115" customWidth="1"/>
    <col min="17" max="17" width="18.6640625" style="115" customWidth="1"/>
    <col min="18" max="20" width="8.88671875" style="115" customWidth="1"/>
    <col min="21" max="22" width="16.77734375" style="115" customWidth="1"/>
    <col min="23" max="23" width="19.88671875" style="1" customWidth="1"/>
    <col min="24" max="24" width="18" style="115" customWidth="1"/>
    <col min="25" max="25" width="10.44140625" style="115" customWidth="1"/>
    <col min="26" max="27" width="15.88671875" style="115" customWidth="1"/>
    <col min="28" max="28" width="15.77734375" style="142" customWidth="1"/>
    <col min="29" max="29" width="20.88671875" style="115" customWidth="1"/>
    <col min="30" max="32" width="15.77734375" style="142" customWidth="1"/>
    <col min="33" max="33" width="24.21875" style="115" customWidth="1"/>
    <col min="34" max="16384" width="10.109375" style="115"/>
  </cols>
  <sheetData>
    <row r="1" spans="1:33" ht="19.5" customHeight="1">
      <c r="A1" s="114" t="str">
        <f>"Ver."&amp;変更履歴!$B$1</f>
        <v>Ver.10.1</v>
      </c>
      <c r="B1" s="114"/>
    </row>
    <row r="2" spans="1:33" ht="19.5" customHeight="1">
      <c r="A2" s="116" t="s">
        <v>558</v>
      </c>
      <c r="B2" s="116"/>
    </row>
    <row r="3" spans="1:33" ht="40.5" customHeight="1">
      <c r="A3" s="116"/>
      <c r="B3" s="116"/>
      <c r="E3" s="466" t="s">
        <v>596</v>
      </c>
      <c r="F3" s="467"/>
      <c r="G3" s="471" t="s">
        <v>2094</v>
      </c>
      <c r="H3" s="472"/>
      <c r="I3" s="472"/>
      <c r="J3" s="472"/>
    </row>
    <row r="4" spans="1:33" ht="15">
      <c r="A4" s="468" t="s">
        <v>18</v>
      </c>
      <c r="B4" s="464" t="s">
        <v>559</v>
      </c>
      <c r="C4" s="468" t="s">
        <v>560</v>
      </c>
      <c r="D4" s="468" t="s">
        <v>583</v>
      </c>
      <c r="E4" s="468" t="s">
        <v>570</v>
      </c>
      <c r="F4" s="468" t="s">
        <v>561</v>
      </c>
      <c r="G4" s="464" t="s">
        <v>287</v>
      </c>
      <c r="H4" s="464" t="s">
        <v>578</v>
      </c>
      <c r="I4" s="468" t="s">
        <v>682</v>
      </c>
      <c r="J4" s="468" t="s">
        <v>1</v>
      </c>
      <c r="K4" s="468" t="s">
        <v>679</v>
      </c>
      <c r="L4" s="468" t="s">
        <v>562</v>
      </c>
      <c r="M4" s="468" t="s">
        <v>2</v>
      </c>
      <c r="N4" s="468" t="s">
        <v>3</v>
      </c>
      <c r="O4" s="468" t="s">
        <v>4</v>
      </c>
      <c r="P4" s="468" t="s">
        <v>286</v>
      </c>
      <c r="Q4" s="468" t="s">
        <v>563</v>
      </c>
      <c r="R4" s="474" t="s">
        <v>710</v>
      </c>
      <c r="S4" s="475"/>
      <c r="T4" s="476"/>
      <c r="U4" s="468" t="s">
        <v>346</v>
      </c>
      <c r="V4" s="468" t="s">
        <v>347</v>
      </c>
      <c r="W4" s="464" t="s">
        <v>447</v>
      </c>
      <c r="X4" s="468" t="s">
        <v>684</v>
      </c>
      <c r="Y4" s="469"/>
      <c r="Z4" s="469"/>
      <c r="AA4" s="470"/>
      <c r="AB4" s="464" t="s">
        <v>671</v>
      </c>
      <c r="AC4" s="464" t="s">
        <v>564</v>
      </c>
      <c r="AD4" s="464" t="s">
        <v>667</v>
      </c>
      <c r="AE4" s="464" t="s">
        <v>669</v>
      </c>
      <c r="AF4" s="464" t="s">
        <v>668</v>
      </c>
      <c r="AG4" s="468" t="s">
        <v>5</v>
      </c>
    </row>
    <row r="5" spans="1:33" ht="30">
      <c r="A5" s="470"/>
      <c r="B5" s="465"/>
      <c r="C5" s="470"/>
      <c r="D5" s="470"/>
      <c r="E5" s="470"/>
      <c r="F5" s="470"/>
      <c r="G5" s="465"/>
      <c r="H5" s="465"/>
      <c r="I5" s="470"/>
      <c r="J5" s="470"/>
      <c r="K5" s="470"/>
      <c r="L5" s="470"/>
      <c r="M5" s="470"/>
      <c r="N5" s="470"/>
      <c r="O5" s="470"/>
      <c r="P5" s="470"/>
      <c r="Q5" s="470"/>
      <c r="R5" s="355" t="s">
        <v>565</v>
      </c>
      <c r="S5" s="355" t="s">
        <v>599</v>
      </c>
      <c r="T5" s="355" t="s">
        <v>566</v>
      </c>
      <c r="U5" s="470"/>
      <c r="V5" s="470"/>
      <c r="W5" s="465"/>
      <c r="X5" s="355" t="s">
        <v>685</v>
      </c>
      <c r="Y5" s="355" t="s">
        <v>686</v>
      </c>
      <c r="Z5" s="355" t="s">
        <v>687</v>
      </c>
      <c r="AA5" s="355" t="s">
        <v>677</v>
      </c>
      <c r="AB5" s="465"/>
      <c r="AC5" s="465"/>
      <c r="AD5" s="465"/>
      <c r="AE5" s="465"/>
      <c r="AF5" s="465"/>
      <c r="AG5" s="473"/>
    </row>
    <row r="6" spans="1:33" s="120" customFormat="1" ht="15">
      <c r="A6" s="376" t="s">
        <v>1891</v>
      </c>
      <c r="B6" s="353"/>
      <c r="C6" s="376" t="s">
        <v>1891</v>
      </c>
      <c r="D6" s="376" t="s">
        <v>1891</v>
      </c>
      <c r="E6" s="376" t="s">
        <v>1891</v>
      </c>
      <c r="F6" s="375" t="s">
        <v>1892</v>
      </c>
      <c r="G6" s="375" t="s">
        <v>1892</v>
      </c>
      <c r="H6" s="355"/>
      <c r="I6" s="355"/>
      <c r="J6" s="355"/>
      <c r="K6" s="355"/>
      <c r="L6" s="355"/>
      <c r="M6" s="376" t="s">
        <v>1891</v>
      </c>
      <c r="N6" s="376" t="s">
        <v>1891</v>
      </c>
      <c r="O6" s="355"/>
      <c r="P6" s="355"/>
      <c r="Q6" s="355"/>
      <c r="R6" s="355"/>
      <c r="S6" s="355"/>
      <c r="T6" s="355"/>
      <c r="U6" s="355"/>
      <c r="V6" s="355"/>
      <c r="W6" s="355"/>
      <c r="X6" s="355"/>
      <c r="Y6" s="355"/>
      <c r="Z6" s="355"/>
      <c r="AA6" s="355"/>
      <c r="AB6" s="355"/>
      <c r="AC6" s="373"/>
      <c r="AD6" s="353"/>
      <c r="AE6" s="353"/>
      <c r="AF6" s="353"/>
      <c r="AG6" s="374"/>
    </row>
    <row r="7" spans="1:33" ht="19.5" customHeight="1">
      <c r="A7" s="82" t="s">
        <v>186</v>
      </c>
      <c r="B7" s="82" t="s">
        <v>186</v>
      </c>
      <c r="C7" s="82"/>
      <c r="D7" s="124"/>
      <c r="E7" s="124">
        <f>IFERROR(IF(A7="Google",(D7/(1+アカウント設定情報!$C$18)),(D7/(1+アカウント設定情報!$D$18)/1.02)),0)</f>
        <v>0</v>
      </c>
      <c r="F7" s="124">
        <f>IF(A7="Google",IFERROR(E7/(N7-M7+1),0),IFERROR(ROUNDDOWN(E7/(N7-M7+1),-2),0))</f>
        <v>0</v>
      </c>
      <c r="G7" s="118" t="s">
        <v>186</v>
      </c>
      <c r="H7" s="400"/>
      <c r="I7" s="118" t="s">
        <v>186</v>
      </c>
      <c r="J7" s="82"/>
      <c r="K7" s="118" t="s">
        <v>186</v>
      </c>
      <c r="L7" s="118" t="s">
        <v>186</v>
      </c>
      <c r="M7" s="279"/>
      <c r="N7" s="279"/>
      <c r="O7" s="118" t="s">
        <v>186</v>
      </c>
      <c r="P7" s="118" t="s">
        <v>186</v>
      </c>
      <c r="Q7" s="118" t="s">
        <v>186</v>
      </c>
      <c r="R7" s="179">
        <v>0</v>
      </c>
      <c r="S7" s="179">
        <v>0</v>
      </c>
      <c r="T7" s="179">
        <v>0</v>
      </c>
      <c r="U7" s="118" t="s">
        <v>186</v>
      </c>
      <c r="V7" s="118" t="s">
        <v>186</v>
      </c>
      <c r="W7" s="141" t="s">
        <v>186</v>
      </c>
      <c r="X7" s="118"/>
      <c r="Y7" s="118" t="s">
        <v>1399</v>
      </c>
      <c r="Z7" s="118" t="s">
        <v>186</v>
      </c>
      <c r="AA7" s="118"/>
      <c r="AB7" s="173"/>
      <c r="AC7" s="118"/>
      <c r="AD7" s="173"/>
      <c r="AE7" s="173"/>
      <c r="AF7" s="173"/>
      <c r="AG7" s="119"/>
    </row>
    <row r="8" spans="1:33" ht="19.5" customHeight="1">
      <c r="A8" s="82" t="s">
        <v>186</v>
      </c>
      <c r="B8" s="82" t="s">
        <v>186</v>
      </c>
      <c r="C8" s="82"/>
      <c r="D8" s="124"/>
      <c r="E8" s="124">
        <f>IFERROR(IF(A8="Google",(D8/(1+アカウント設定情報!$C$18)),(D8/(1+アカウント設定情報!$D$18)/1.02)),0)</f>
        <v>0</v>
      </c>
      <c r="F8" s="124">
        <f t="shared" ref="F8:F14" si="0">IF(A8="Google",IFERROR(E8/(N8-M8+1),0),IFERROR(ROUNDDOWN(E8/(N8-M8+1),-2),0))</f>
        <v>0</v>
      </c>
      <c r="G8" s="118" t="s">
        <v>186</v>
      </c>
      <c r="H8" s="400"/>
      <c r="I8" s="118" t="s">
        <v>186</v>
      </c>
      <c r="J8" s="82"/>
      <c r="K8" s="118" t="s">
        <v>186</v>
      </c>
      <c r="L8" s="118" t="s">
        <v>186</v>
      </c>
      <c r="M8" s="279"/>
      <c r="N8" s="279"/>
      <c r="O8" s="118" t="s">
        <v>186</v>
      </c>
      <c r="P8" s="118" t="s">
        <v>186</v>
      </c>
      <c r="Q8" s="118" t="s">
        <v>186</v>
      </c>
      <c r="R8" s="179">
        <v>0</v>
      </c>
      <c r="S8" s="179">
        <v>0</v>
      </c>
      <c r="T8" s="179">
        <v>0</v>
      </c>
      <c r="U8" s="118" t="s">
        <v>186</v>
      </c>
      <c r="V8" s="118" t="s">
        <v>186</v>
      </c>
      <c r="W8" s="141" t="s">
        <v>186</v>
      </c>
      <c r="X8" s="118"/>
      <c r="Y8" s="118" t="s">
        <v>1399</v>
      </c>
      <c r="Z8" s="118" t="s">
        <v>186</v>
      </c>
      <c r="AA8" s="118"/>
      <c r="AB8" s="173"/>
      <c r="AC8" s="118"/>
      <c r="AD8" s="173"/>
      <c r="AE8" s="173"/>
      <c r="AF8" s="173"/>
      <c r="AG8" s="119"/>
    </row>
    <row r="9" spans="1:33" ht="19.5" customHeight="1">
      <c r="A9" s="82" t="s">
        <v>186</v>
      </c>
      <c r="B9" s="82" t="s">
        <v>186</v>
      </c>
      <c r="C9" s="82"/>
      <c r="D9" s="124"/>
      <c r="E9" s="124">
        <f>IFERROR(IF(A9="Google",(D9/(1+アカウント設定情報!$C$18)),(D9/(1+アカウント設定情報!$D$18)/1.02)),0)</f>
        <v>0</v>
      </c>
      <c r="F9" s="124">
        <f t="shared" si="0"/>
        <v>0</v>
      </c>
      <c r="G9" s="118" t="s">
        <v>186</v>
      </c>
      <c r="H9" s="400"/>
      <c r="I9" s="118" t="s">
        <v>186</v>
      </c>
      <c r="J9" s="82"/>
      <c r="K9" s="118" t="s">
        <v>186</v>
      </c>
      <c r="L9" s="118" t="s">
        <v>186</v>
      </c>
      <c r="M9" s="279"/>
      <c r="N9" s="279"/>
      <c r="O9" s="118" t="s">
        <v>186</v>
      </c>
      <c r="P9" s="118" t="s">
        <v>186</v>
      </c>
      <c r="Q9" s="118" t="s">
        <v>186</v>
      </c>
      <c r="R9" s="179">
        <v>0</v>
      </c>
      <c r="S9" s="179">
        <v>0</v>
      </c>
      <c r="T9" s="179">
        <v>0</v>
      </c>
      <c r="U9" s="118" t="s">
        <v>186</v>
      </c>
      <c r="V9" s="118" t="s">
        <v>186</v>
      </c>
      <c r="W9" s="141" t="s">
        <v>186</v>
      </c>
      <c r="X9" s="118"/>
      <c r="Y9" s="118" t="s">
        <v>1399</v>
      </c>
      <c r="Z9" s="118" t="s">
        <v>186</v>
      </c>
      <c r="AA9" s="118"/>
      <c r="AB9" s="173"/>
      <c r="AC9" s="118"/>
      <c r="AD9" s="173"/>
      <c r="AE9" s="173"/>
      <c r="AF9" s="173"/>
      <c r="AG9" s="119"/>
    </row>
    <row r="10" spans="1:33" ht="19.5" customHeight="1">
      <c r="A10" s="82" t="s">
        <v>186</v>
      </c>
      <c r="B10" s="82" t="s">
        <v>186</v>
      </c>
      <c r="C10" s="82"/>
      <c r="D10" s="124"/>
      <c r="E10" s="124">
        <f>IFERROR(IF(A10="Google",(D10/(1+アカウント設定情報!$C$18)),(D10/(1+アカウント設定情報!$D$18)/1.02)),0)</f>
        <v>0</v>
      </c>
      <c r="F10" s="124">
        <f t="shared" si="0"/>
        <v>0</v>
      </c>
      <c r="G10" s="118" t="s">
        <v>186</v>
      </c>
      <c r="H10" s="400"/>
      <c r="I10" s="118" t="s">
        <v>186</v>
      </c>
      <c r="J10" s="82"/>
      <c r="K10" s="118" t="s">
        <v>186</v>
      </c>
      <c r="L10" s="118" t="s">
        <v>186</v>
      </c>
      <c r="M10" s="279"/>
      <c r="N10" s="279"/>
      <c r="O10" s="118" t="s">
        <v>186</v>
      </c>
      <c r="P10" s="118" t="s">
        <v>186</v>
      </c>
      <c r="Q10" s="118" t="s">
        <v>186</v>
      </c>
      <c r="R10" s="179">
        <v>0</v>
      </c>
      <c r="S10" s="179">
        <v>0</v>
      </c>
      <c r="T10" s="179">
        <v>0</v>
      </c>
      <c r="U10" s="118" t="s">
        <v>186</v>
      </c>
      <c r="V10" s="118" t="s">
        <v>186</v>
      </c>
      <c r="W10" s="141" t="s">
        <v>186</v>
      </c>
      <c r="X10" s="118"/>
      <c r="Y10" s="118" t="s">
        <v>1399</v>
      </c>
      <c r="Z10" s="118" t="s">
        <v>186</v>
      </c>
      <c r="AA10" s="118"/>
      <c r="AB10" s="173"/>
      <c r="AC10" s="118"/>
      <c r="AD10" s="173"/>
      <c r="AE10" s="173"/>
      <c r="AF10" s="173"/>
      <c r="AG10" s="119"/>
    </row>
    <row r="11" spans="1:33" ht="19.5" customHeight="1">
      <c r="A11" s="82" t="s">
        <v>186</v>
      </c>
      <c r="B11" s="82" t="s">
        <v>186</v>
      </c>
      <c r="C11" s="82"/>
      <c r="D11" s="124"/>
      <c r="E11" s="124">
        <f>IFERROR(IF(A11="Google",(D11/(1+アカウント設定情報!$C$18)),(D11/(1+アカウント設定情報!$D$18)/1.02)),0)</f>
        <v>0</v>
      </c>
      <c r="F11" s="124">
        <f t="shared" si="0"/>
        <v>0</v>
      </c>
      <c r="G11" s="118" t="s">
        <v>186</v>
      </c>
      <c r="H11" s="400"/>
      <c r="I11" s="118" t="s">
        <v>186</v>
      </c>
      <c r="J11" s="82"/>
      <c r="K11" s="118" t="s">
        <v>186</v>
      </c>
      <c r="L11" s="118" t="s">
        <v>186</v>
      </c>
      <c r="M11" s="279"/>
      <c r="N11" s="279"/>
      <c r="O11" s="118" t="s">
        <v>186</v>
      </c>
      <c r="P11" s="118" t="s">
        <v>186</v>
      </c>
      <c r="Q11" s="118" t="s">
        <v>186</v>
      </c>
      <c r="R11" s="179">
        <v>0</v>
      </c>
      <c r="S11" s="179">
        <v>0</v>
      </c>
      <c r="T11" s="179">
        <v>0</v>
      </c>
      <c r="U11" s="118" t="s">
        <v>186</v>
      </c>
      <c r="V11" s="118" t="s">
        <v>186</v>
      </c>
      <c r="W11" s="141" t="s">
        <v>186</v>
      </c>
      <c r="X11" s="118"/>
      <c r="Y11" s="118" t="s">
        <v>1399</v>
      </c>
      <c r="Z11" s="118" t="s">
        <v>186</v>
      </c>
      <c r="AA11" s="118"/>
      <c r="AB11" s="173"/>
      <c r="AC11" s="118"/>
      <c r="AD11" s="173"/>
      <c r="AE11" s="173"/>
      <c r="AF11" s="173"/>
      <c r="AG11" s="119"/>
    </row>
    <row r="12" spans="1:33" ht="19.5" customHeight="1">
      <c r="A12" s="82" t="s">
        <v>186</v>
      </c>
      <c r="B12" s="82" t="s">
        <v>186</v>
      </c>
      <c r="C12" s="82"/>
      <c r="D12" s="124"/>
      <c r="E12" s="124">
        <f>IFERROR(IF(A12="Google",(D12/(1+アカウント設定情報!$C$18)),(D12/(1+アカウント設定情報!$D$18)/1.02)),0)</f>
        <v>0</v>
      </c>
      <c r="F12" s="124">
        <f t="shared" si="0"/>
        <v>0</v>
      </c>
      <c r="G12" s="118" t="s">
        <v>186</v>
      </c>
      <c r="H12" s="400"/>
      <c r="I12" s="118" t="s">
        <v>186</v>
      </c>
      <c r="J12" s="82"/>
      <c r="K12" s="118" t="s">
        <v>186</v>
      </c>
      <c r="L12" s="118" t="s">
        <v>186</v>
      </c>
      <c r="M12" s="279"/>
      <c r="N12" s="279"/>
      <c r="O12" s="118" t="s">
        <v>186</v>
      </c>
      <c r="P12" s="118" t="s">
        <v>186</v>
      </c>
      <c r="Q12" s="118" t="s">
        <v>186</v>
      </c>
      <c r="R12" s="179">
        <v>0</v>
      </c>
      <c r="S12" s="179">
        <v>0</v>
      </c>
      <c r="T12" s="179">
        <v>0</v>
      </c>
      <c r="U12" s="118" t="s">
        <v>186</v>
      </c>
      <c r="V12" s="118" t="s">
        <v>186</v>
      </c>
      <c r="W12" s="141" t="s">
        <v>186</v>
      </c>
      <c r="X12" s="118"/>
      <c r="Y12" s="118" t="s">
        <v>1399</v>
      </c>
      <c r="Z12" s="118" t="s">
        <v>186</v>
      </c>
      <c r="AA12" s="118"/>
      <c r="AB12" s="173"/>
      <c r="AC12" s="118"/>
      <c r="AD12" s="173"/>
      <c r="AE12" s="173"/>
      <c r="AF12" s="173"/>
      <c r="AG12" s="119"/>
    </row>
    <row r="13" spans="1:33" ht="19.5" customHeight="1">
      <c r="A13" s="82" t="s">
        <v>186</v>
      </c>
      <c r="B13" s="82" t="s">
        <v>186</v>
      </c>
      <c r="C13" s="82"/>
      <c r="D13" s="124"/>
      <c r="E13" s="124">
        <f>IFERROR(IF(A13="Google",(D13/(1+アカウント設定情報!$C$18)),(D13/(1+アカウント設定情報!$D$18)/1.02)),0)</f>
        <v>0</v>
      </c>
      <c r="F13" s="124">
        <f t="shared" si="0"/>
        <v>0</v>
      </c>
      <c r="G13" s="118" t="s">
        <v>186</v>
      </c>
      <c r="H13" s="400"/>
      <c r="I13" s="118" t="s">
        <v>186</v>
      </c>
      <c r="J13" s="82"/>
      <c r="K13" s="118" t="s">
        <v>186</v>
      </c>
      <c r="L13" s="118" t="s">
        <v>186</v>
      </c>
      <c r="M13" s="279"/>
      <c r="N13" s="279"/>
      <c r="O13" s="118" t="s">
        <v>186</v>
      </c>
      <c r="P13" s="118" t="s">
        <v>186</v>
      </c>
      <c r="Q13" s="118" t="s">
        <v>186</v>
      </c>
      <c r="R13" s="179">
        <v>0</v>
      </c>
      <c r="S13" s="179">
        <v>0</v>
      </c>
      <c r="T13" s="179">
        <v>0</v>
      </c>
      <c r="U13" s="118" t="s">
        <v>186</v>
      </c>
      <c r="V13" s="118" t="s">
        <v>186</v>
      </c>
      <c r="W13" s="141" t="s">
        <v>186</v>
      </c>
      <c r="X13" s="118"/>
      <c r="Y13" s="118" t="s">
        <v>1399</v>
      </c>
      <c r="Z13" s="118" t="s">
        <v>186</v>
      </c>
      <c r="AA13" s="118"/>
      <c r="AB13" s="173"/>
      <c r="AC13" s="118"/>
      <c r="AD13" s="173"/>
      <c r="AE13" s="173"/>
      <c r="AF13" s="173"/>
      <c r="AG13" s="119"/>
    </row>
    <row r="14" spans="1:33" ht="19.5" customHeight="1">
      <c r="A14" s="82" t="s">
        <v>186</v>
      </c>
      <c r="B14" s="82" t="s">
        <v>186</v>
      </c>
      <c r="C14" s="82"/>
      <c r="D14" s="124"/>
      <c r="E14" s="124">
        <f>IFERROR(IF(A14="Google",(D14/(1+アカウント設定情報!$C$18)),(D14/(1+アカウント設定情報!$D$18)/1.02)),0)</f>
        <v>0</v>
      </c>
      <c r="F14" s="124">
        <f t="shared" si="0"/>
        <v>0</v>
      </c>
      <c r="G14" s="118" t="s">
        <v>186</v>
      </c>
      <c r="H14" s="400"/>
      <c r="I14" s="118" t="s">
        <v>186</v>
      </c>
      <c r="J14" s="82"/>
      <c r="K14" s="118" t="s">
        <v>186</v>
      </c>
      <c r="L14" s="118" t="s">
        <v>186</v>
      </c>
      <c r="M14" s="279"/>
      <c r="N14" s="279"/>
      <c r="O14" s="118" t="s">
        <v>186</v>
      </c>
      <c r="P14" s="118" t="s">
        <v>186</v>
      </c>
      <c r="Q14" s="118" t="s">
        <v>186</v>
      </c>
      <c r="R14" s="179">
        <v>0</v>
      </c>
      <c r="S14" s="179">
        <v>0</v>
      </c>
      <c r="T14" s="179">
        <v>0</v>
      </c>
      <c r="U14" s="118" t="s">
        <v>186</v>
      </c>
      <c r="V14" s="118" t="s">
        <v>186</v>
      </c>
      <c r="W14" s="141" t="s">
        <v>186</v>
      </c>
      <c r="X14" s="118"/>
      <c r="Y14" s="118" t="s">
        <v>1399</v>
      </c>
      <c r="Z14" s="118" t="s">
        <v>186</v>
      </c>
      <c r="AA14" s="118"/>
      <c r="AB14" s="173"/>
      <c r="AC14" s="118"/>
      <c r="AD14" s="173"/>
      <c r="AE14" s="173"/>
      <c r="AF14" s="173"/>
      <c r="AG14" s="119"/>
    </row>
    <row r="15" spans="1:33" ht="19.5" customHeight="1">
      <c r="A15" s="115"/>
      <c r="B15" s="115"/>
    </row>
    <row r="16" spans="1:33" ht="19.5" customHeight="1">
      <c r="A16" s="115"/>
      <c r="B16" s="115"/>
      <c r="N16" s="330"/>
    </row>
    <row r="17" spans="1:5" ht="19.5" customHeight="1">
      <c r="A17" s="115"/>
      <c r="B17" s="115"/>
      <c r="E17" s="350"/>
    </row>
    <row r="18" spans="1:5" ht="19.5" customHeight="1">
      <c r="A18" s="115"/>
      <c r="B18" s="115"/>
    </row>
    <row r="19" spans="1:5" ht="19.5" customHeight="1">
      <c r="A19" s="115"/>
      <c r="B19" s="115"/>
    </row>
    <row r="20" spans="1:5" ht="19.5" customHeight="1">
      <c r="A20" s="115"/>
      <c r="B20" s="115"/>
    </row>
    <row r="21" spans="1:5" ht="19.5" customHeight="1">
      <c r="A21" s="115"/>
      <c r="B21" s="115"/>
    </row>
    <row r="22" spans="1:5" ht="19.5" customHeight="1">
      <c r="A22" s="115"/>
      <c r="B22" s="115"/>
    </row>
    <row r="23" spans="1:5" ht="19.5" customHeight="1">
      <c r="A23" s="115"/>
      <c r="B23" s="115"/>
    </row>
    <row r="24" spans="1:5" ht="19.5" customHeight="1">
      <c r="A24" s="115"/>
      <c r="B24" s="115"/>
    </row>
    <row r="25" spans="1:5" ht="19.5" customHeight="1">
      <c r="A25" s="115"/>
      <c r="B25" s="115"/>
    </row>
    <row r="26" spans="1:5" ht="19.5" customHeight="1">
      <c r="A26" s="115"/>
      <c r="B26" s="115"/>
    </row>
    <row r="27" spans="1:5" ht="19.5" customHeight="1">
      <c r="A27" s="115"/>
      <c r="B27" s="115"/>
    </row>
    <row r="28" spans="1:5" ht="19.5" customHeight="1">
      <c r="A28" s="115"/>
      <c r="B28" s="115"/>
    </row>
    <row r="29" spans="1:5" ht="19.5" customHeight="1">
      <c r="A29" s="115"/>
      <c r="B29" s="115"/>
    </row>
    <row r="30" spans="1:5" ht="19.5" customHeight="1">
      <c r="A30" s="115"/>
      <c r="B30" s="115"/>
    </row>
    <row r="31" spans="1:5" ht="19.5" customHeight="1">
      <c r="A31" s="115"/>
      <c r="B31" s="115"/>
    </row>
    <row r="32" spans="1:5" ht="19.5" customHeight="1">
      <c r="A32" s="115"/>
      <c r="B32" s="115"/>
    </row>
    <row r="33" spans="1:2" ht="19.5" customHeight="1">
      <c r="A33" s="115"/>
      <c r="B33" s="115"/>
    </row>
    <row r="34" spans="1:2" ht="112.5" customHeight="1">
      <c r="A34" s="115"/>
      <c r="B34" s="115"/>
    </row>
  </sheetData>
  <dataConsolidate link="1"/>
  <mergeCells count="30">
    <mergeCell ref="A4:A5"/>
    <mergeCell ref="B4:B5"/>
    <mergeCell ref="C4:C5"/>
    <mergeCell ref="F4:F5"/>
    <mergeCell ref="G4:G5"/>
    <mergeCell ref="D4:D5"/>
    <mergeCell ref="AG4:AG5"/>
    <mergeCell ref="E4:E5"/>
    <mergeCell ref="O4:O5"/>
    <mergeCell ref="P4:P5"/>
    <mergeCell ref="Q4:Q5"/>
    <mergeCell ref="R4:T4"/>
    <mergeCell ref="U4:U5"/>
    <mergeCell ref="V4:V5"/>
    <mergeCell ref="I4:I5"/>
    <mergeCell ref="J4:J5"/>
    <mergeCell ref="K4:K5"/>
    <mergeCell ref="L4:L5"/>
    <mergeCell ref="M4:M5"/>
    <mergeCell ref="AF4:AF5"/>
    <mergeCell ref="AB4:AB5"/>
    <mergeCell ref="W4:W5"/>
    <mergeCell ref="AD4:AD5"/>
    <mergeCell ref="AE4:AE5"/>
    <mergeCell ref="E3:F3"/>
    <mergeCell ref="X4:AA4"/>
    <mergeCell ref="AC4:AC5"/>
    <mergeCell ref="N4:N5"/>
    <mergeCell ref="H4:H5"/>
    <mergeCell ref="G3:J3"/>
  </mergeCells>
  <phoneticPr fontId="20"/>
  <conditionalFormatting sqref="J7:J14 AC7:AC14 AE7:AE14 X7:Z14">
    <cfRule type="expression" dxfId="177" priority="14">
      <formula>$A7="Yahoo!"</formula>
    </cfRule>
  </conditionalFormatting>
  <conditionalFormatting sqref="H7:H14">
    <cfRule type="expression" dxfId="176" priority="7">
      <formula>OR(G7="入力規則",G7="個別クリック単価",G7="コンバージョン数の最大化",G7="手動入札")</formula>
    </cfRule>
  </conditionalFormatting>
  <conditionalFormatting sqref="I7:I14">
    <cfRule type="expression" dxfId="175" priority="3">
      <formula>NOT(OR(G7="個別クリック単価",G7="入力規則"))</formula>
    </cfRule>
  </conditionalFormatting>
  <dataValidations count="15">
    <dataValidation allowBlank="1" showInputMessage="1" sqref="H7:H14" xr:uid="{00000000-0002-0000-0700-000000000000}"/>
    <dataValidation type="list" allowBlank="1" showInputMessage="1" sqref="A7:A14" xr:uid="{00000000-0002-0000-0700-000001000000}">
      <formula1>媒体</formula1>
    </dataValidation>
    <dataValidation type="list" allowBlank="1" showInputMessage="1" sqref="B7:B14" xr:uid="{00000000-0002-0000-0700-000002000000}">
      <formula1>ステータス</formula1>
    </dataValidation>
    <dataValidation type="list" allowBlank="1" showInputMessage="1" sqref="Q7:Q14" xr:uid="{00000000-0002-0000-0700-000003000000}">
      <formula1>デバイス</formula1>
    </dataValidation>
    <dataValidation type="list" allowBlank="1" showInputMessage="1" showErrorMessage="1" sqref="G7:G14" xr:uid="{00000000-0002-0000-0700-000004000000}">
      <formula1>IF(A7="Google",G_入札戦略,IF(A7="Yahoo!",Y_入札戦略,選択肢なし))</formula1>
    </dataValidation>
    <dataValidation type="list" allowBlank="1" showInputMessage="1" sqref="I7:I14" xr:uid="{00000000-0002-0000-0700-000005000000}">
      <formula1>IF(G7="個別クリック単価",拡張CPC,選択肢なし)</formula1>
    </dataValidation>
    <dataValidation type="list" allowBlank="1" showInputMessage="1" showErrorMessage="1" sqref="K7:K14" xr:uid="{00000000-0002-0000-0700-000006000000}">
      <formula1>IF(A7="Google",G_キャンペーンタイプ,IF(A7="Yahoo!",Y_キャンペーンタイプ,選択肢なし))</formula1>
    </dataValidation>
    <dataValidation type="list" allowBlank="1" showInputMessage="1" sqref="L7:L14" xr:uid="{00000000-0002-0000-0700-000007000000}">
      <formula1>IF(A7="Google",検索パートナーの有無,IF(A7="Yahoo!",広告掲載方式の指定,選択肢なし))</formula1>
    </dataValidation>
    <dataValidation type="list" allowBlank="1" showInputMessage="1" sqref="O7:O14" xr:uid="{00000000-0002-0000-0700-000008000000}">
      <formula1>IF(A7="Google",G_配信方法,IF(A7="Yahoo!",Y_配信方法,選択肢なし))</formula1>
    </dataValidation>
    <dataValidation type="list" allowBlank="1" showInputMessage="1" sqref="P7:P14" xr:uid="{00000000-0002-0000-0700-000009000000}">
      <formula1>IF(A7="Google",G_広告配信最適化,IF(A7="Yahoo!",Y_広告配信最適化,選択肢なし))</formula1>
    </dataValidation>
    <dataValidation type="list" allowBlank="1" showInputMessage="1" showErrorMessage="1" sqref="U7:U14" xr:uid="{00000000-0002-0000-0700-00000A000000}">
      <formula1>IF(A7="Google",ターゲット地域の詳細設定,IF(A7="Yahoo!",配信地域判定,選択肢なし))</formula1>
    </dataValidation>
    <dataValidation type="list" allowBlank="1" showInputMessage="1" showErrorMessage="1" sqref="V7:V14" xr:uid="{00000000-0002-0000-0700-00000B000000}">
      <formula1>IF(A7="Google",除外用_ターゲット地域の詳細設定,IF(A7="Yahoo!",除外地域判定,選択肢なし))</formula1>
    </dataValidation>
    <dataValidation type="list" allowBlank="1" showInputMessage="1" showErrorMessage="1" sqref="W7:W14" xr:uid="{00000000-0002-0000-0700-00000C000000}">
      <formula1>IF($A7="Google",柔軟なリーチ※Adg単位,IF($A7="Yahoo!",配信対象のユーザー,選択肢なし))</formula1>
    </dataValidation>
    <dataValidation type="list" allowBlank="1" showInputMessage="1" showErrorMessage="1" sqref="Y7:Y14" xr:uid="{00000000-0002-0000-0700-00000D000000}">
      <formula1>IF(A7="Google",言語,選択肢なし)</formula1>
    </dataValidation>
    <dataValidation type="list" allowBlank="1" showInputMessage="1" showErrorMessage="1" sqref="Z7:Z14" xr:uid="{00000000-0002-0000-0700-00000E000000}">
      <formula1>IF(Y7="日本語",ターゲティングソース,選択肢なし)</formula1>
    </dataValidation>
  </dataValidations>
  <pageMargins left="0.7" right="0.7" top="0.75" bottom="0.75" header="0.3" footer="0.3"/>
  <pageSetup paperSize="9" scale="2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theme="5" tint="0.79998168889431442"/>
    <pageSetUpPr fitToPage="1"/>
  </sheetPr>
  <dimension ref="A1:N13"/>
  <sheetViews>
    <sheetView showGridLines="0" view="pageBreakPreview" zoomScale="85" zoomScaleNormal="100" zoomScaleSheetLayoutView="85" workbookViewId="0">
      <pane ySplit="6" topLeftCell="A7" activePane="bottomLeft" state="frozen"/>
      <selection pane="bottomLeft"/>
    </sheetView>
  </sheetViews>
  <sheetFormatPr defaultColWidth="8.88671875" defaultRowHeight="19.5" customHeight="1"/>
  <cols>
    <col min="1" max="1" width="17" style="1" customWidth="1"/>
    <col min="2" max="2" width="8.109375" style="1" bestFit="1" customWidth="1"/>
    <col min="3" max="4" width="25.77734375" style="1" customWidth="1"/>
    <col min="5" max="5" width="13.88671875" style="1" bestFit="1" customWidth="1"/>
    <col min="6" max="7" width="19.88671875" style="1" customWidth="1"/>
    <col min="8" max="10" width="8.88671875" style="115" customWidth="1"/>
    <col min="11" max="14" width="15.77734375" style="142" customWidth="1"/>
    <col min="15" max="16384" width="8.88671875" style="1"/>
  </cols>
  <sheetData>
    <row r="1" spans="1:14" ht="19.5" customHeight="1">
      <c r="A1" s="114" t="str">
        <f>"Ver."&amp;変更履歴!$B$1</f>
        <v>Ver.10.1</v>
      </c>
    </row>
    <row r="2" spans="1:14" ht="19.5" customHeight="1">
      <c r="A2" s="116" t="s">
        <v>567</v>
      </c>
      <c r="B2" s="116"/>
      <c r="C2" s="116"/>
    </row>
    <row r="4" spans="1:14" ht="22.5" customHeight="1">
      <c r="A4" s="464" t="s">
        <v>18</v>
      </c>
      <c r="B4" s="464" t="s">
        <v>221</v>
      </c>
      <c r="C4" s="464" t="s">
        <v>289</v>
      </c>
      <c r="D4" s="464" t="s">
        <v>7</v>
      </c>
      <c r="E4" s="464" t="s">
        <v>249</v>
      </c>
      <c r="F4" s="464" t="s">
        <v>447</v>
      </c>
      <c r="G4" s="464" t="s">
        <v>590</v>
      </c>
      <c r="H4" s="474" t="s">
        <v>710</v>
      </c>
      <c r="I4" s="475"/>
      <c r="J4" s="476"/>
      <c r="K4" s="464" t="s">
        <v>670</v>
      </c>
      <c r="L4" s="464" t="s">
        <v>667</v>
      </c>
      <c r="M4" s="464" t="s">
        <v>669</v>
      </c>
      <c r="N4" s="464" t="s">
        <v>668</v>
      </c>
    </row>
    <row r="5" spans="1:14" ht="22.5" customHeight="1">
      <c r="A5" s="465"/>
      <c r="B5" s="465"/>
      <c r="C5" s="465"/>
      <c r="D5" s="465"/>
      <c r="E5" s="465"/>
      <c r="F5" s="465"/>
      <c r="G5" s="465"/>
      <c r="H5" s="117" t="s">
        <v>340</v>
      </c>
      <c r="I5" s="117" t="s">
        <v>568</v>
      </c>
      <c r="J5" s="117" t="s">
        <v>341</v>
      </c>
      <c r="K5" s="465"/>
      <c r="L5" s="465"/>
      <c r="M5" s="465"/>
      <c r="N5" s="465"/>
    </row>
    <row r="6" spans="1:14" ht="15">
      <c r="A6" s="375" t="s">
        <v>1892</v>
      </c>
      <c r="B6" s="353"/>
      <c r="C6" s="375" t="s">
        <v>1892</v>
      </c>
      <c r="D6" s="375" t="s">
        <v>1892</v>
      </c>
      <c r="E6" s="375" t="s">
        <v>1892</v>
      </c>
      <c r="F6" s="353"/>
      <c r="G6" s="353"/>
      <c r="H6" s="354"/>
      <c r="I6" s="354"/>
      <c r="J6" s="354"/>
      <c r="K6" s="353"/>
      <c r="L6" s="353"/>
      <c r="M6" s="353"/>
      <c r="N6" s="353"/>
    </row>
    <row r="7" spans="1:14" ht="19.5" customHeight="1">
      <c r="A7" s="82" t="s">
        <v>186</v>
      </c>
      <c r="B7" s="82" t="s">
        <v>186</v>
      </c>
      <c r="C7" s="82"/>
      <c r="D7" s="82"/>
      <c r="E7" s="125"/>
      <c r="F7" s="126" t="s">
        <v>186</v>
      </c>
      <c r="G7" s="126" t="s">
        <v>186</v>
      </c>
      <c r="H7" s="179">
        <v>0</v>
      </c>
      <c r="I7" s="179">
        <v>0</v>
      </c>
      <c r="J7" s="179">
        <v>0</v>
      </c>
      <c r="K7" s="173"/>
      <c r="L7" s="173"/>
      <c r="M7" s="173"/>
      <c r="N7" s="173"/>
    </row>
    <row r="8" spans="1:14" ht="19.5" customHeight="1">
      <c r="A8" s="82" t="s">
        <v>186</v>
      </c>
      <c r="B8" s="82" t="s">
        <v>186</v>
      </c>
      <c r="C8" s="82"/>
      <c r="D8" s="82"/>
      <c r="E8" s="125"/>
      <c r="F8" s="126" t="s">
        <v>186</v>
      </c>
      <c r="G8" s="126" t="s">
        <v>186</v>
      </c>
      <c r="H8" s="179">
        <v>0</v>
      </c>
      <c r="I8" s="179">
        <v>0</v>
      </c>
      <c r="J8" s="179">
        <v>0</v>
      </c>
      <c r="K8" s="173"/>
      <c r="L8" s="173"/>
      <c r="M8" s="173"/>
      <c r="N8" s="173"/>
    </row>
    <row r="9" spans="1:14" ht="19.5" customHeight="1">
      <c r="A9" s="82" t="s">
        <v>186</v>
      </c>
      <c r="B9" s="82" t="s">
        <v>186</v>
      </c>
      <c r="C9" s="82"/>
      <c r="D9" s="82"/>
      <c r="E9" s="125"/>
      <c r="F9" s="126" t="s">
        <v>186</v>
      </c>
      <c r="G9" s="126" t="s">
        <v>186</v>
      </c>
      <c r="H9" s="179">
        <v>0</v>
      </c>
      <c r="I9" s="179">
        <v>0</v>
      </c>
      <c r="J9" s="179">
        <v>0</v>
      </c>
      <c r="K9" s="173"/>
      <c r="L9" s="173"/>
      <c r="M9" s="173"/>
      <c r="N9" s="173"/>
    </row>
    <row r="10" spans="1:14" ht="19.5" customHeight="1">
      <c r="A10" s="82" t="s">
        <v>186</v>
      </c>
      <c r="B10" s="82" t="s">
        <v>186</v>
      </c>
      <c r="C10" s="82"/>
      <c r="D10" s="82"/>
      <c r="E10" s="125"/>
      <c r="F10" s="126" t="s">
        <v>186</v>
      </c>
      <c r="G10" s="126" t="s">
        <v>186</v>
      </c>
      <c r="H10" s="179">
        <v>0</v>
      </c>
      <c r="I10" s="179">
        <v>0</v>
      </c>
      <c r="J10" s="179">
        <v>0</v>
      </c>
      <c r="K10" s="173"/>
      <c r="L10" s="173"/>
      <c r="M10" s="173"/>
      <c r="N10" s="173"/>
    </row>
    <row r="11" spans="1:14" ht="19.5" customHeight="1">
      <c r="A11" s="82" t="s">
        <v>186</v>
      </c>
      <c r="B11" s="82" t="s">
        <v>186</v>
      </c>
      <c r="C11" s="82"/>
      <c r="D11" s="82"/>
      <c r="E11" s="125"/>
      <c r="F11" s="126" t="s">
        <v>186</v>
      </c>
      <c r="G11" s="126" t="s">
        <v>186</v>
      </c>
      <c r="H11" s="179">
        <v>0</v>
      </c>
      <c r="I11" s="179">
        <v>0</v>
      </c>
      <c r="J11" s="179">
        <v>0</v>
      </c>
      <c r="K11" s="173"/>
      <c r="L11" s="173"/>
      <c r="M11" s="173"/>
      <c r="N11" s="173"/>
    </row>
    <row r="12" spans="1:14" ht="19.5" customHeight="1">
      <c r="A12" s="82" t="s">
        <v>186</v>
      </c>
      <c r="B12" s="82" t="s">
        <v>186</v>
      </c>
      <c r="C12" s="82"/>
      <c r="D12" s="82"/>
      <c r="E12" s="125"/>
      <c r="F12" s="126" t="s">
        <v>186</v>
      </c>
      <c r="G12" s="126" t="s">
        <v>186</v>
      </c>
      <c r="H12" s="179">
        <v>0</v>
      </c>
      <c r="I12" s="179">
        <v>0</v>
      </c>
      <c r="J12" s="179">
        <v>0</v>
      </c>
      <c r="K12" s="173"/>
      <c r="L12" s="173"/>
      <c r="M12" s="173"/>
      <c r="N12" s="173"/>
    </row>
    <row r="13" spans="1:14" ht="19.5" customHeight="1">
      <c r="A13" s="82" t="s">
        <v>186</v>
      </c>
      <c r="B13" s="82" t="s">
        <v>186</v>
      </c>
      <c r="C13" s="82"/>
      <c r="D13" s="82"/>
      <c r="E13" s="125"/>
      <c r="F13" s="126" t="s">
        <v>186</v>
      </c>
      <c r="G13" s="126" t="s">
        <v>186</v>
      </c>
      <c r="H13" s="179">
        <v>0</v>
      </c>
      <c r="I13" s="179">
        <v>0</v>
      </c>
      <c r="J13" s="179">
        <v>0</v>
      </c>
      <c r="K13" s="173"/>
      <c r="L13" s="173"/>
      <c r="M13" s="173"/>
      <c r="N13" s="173"/>
    </row>
  </sheetData>
  <mergeCells count="12">
    <mergeCell ref="F4:F5"/>
    <mergeCell ref="A4:A5"/>
    <mergeCell ref="B4:B5"/>
    <mergeCell ref="C4:C5"/>
    <mergeCell ref="D4:D5"/>
    <mergeCell ref="E4:E5"/>
    <mergeCell ref="L4:L5"/>
    <mergeCell ref="M4:M5"/>
    <mergeCell ref="N4:N5"/>
    <mergeCell ref="K4:K5"/>
    <mergeCell ref="G4:G5"/>
    <mergeCell ref="H4:J4"/>
  </mergeCells>
  <phoneticPr fontId="20"/>
  <conditionalFormatting sqref="M7:M13 G7:G13">
    <cfRule type="expression" dxfId="174" priority="1">
      <formula>$A7="Yahoo!"</formula>
    </cfRule>
  </conditionalFormatting>
  <dataValidations count="4">
    <dataValidation type="list" allowBlank="1" showInputMessage="1" sqref="A7:A13" xr:uid="{00000000-0002-0000-0800-000000000000}">
      <formula1>媒体</formula1>
    </dataValidation>
    <dataValidation type="list" allowBlank="1" showInputMessage="1" sqref="B7:B13" xr:uid="{00000000-0002-0000-0800-000001000000}">
      <formula1>ステータス</formula1>
    </dataValidation>
    <dataValidation type="list" allowBlank="1" showInputMessage="1" showErrorMessage="1" sqref="F7:F13" xr:uid="{00000000-0002-0000-0800-000002000000}">
      <formula1>IF($A7="Google",柔軟なリーチ※Adg単位,IF($A7="Yahoo!",配信対象のユーザー,選択肢なし))</formula1>
    </dataValidation>
    <dataValidation type="list" allowBlank="1" showInputMessage="1" showErrorMessage="1" sqref="G7:G13" xr:uid="{00000000-0002-0000-0800-000003000000}">
      <formula1>IF($A7="Google",広告グループの種類,選択肢なし)</formula1>
    </dataValidation>
  </dataValidations>
  <pageMargins left="0.7" right="0.7" top="0.75" bottom="0.75" header="0.3" footer="0.3"/>
  <pageSetup paperSize="9" scale="4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79998168889431442"/>
    <pageSetUpPr fitToPage="1"/>
  </sheetPr>
  <dimension ref="A1:M18"/>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1" width="15.77734375" style="2" customWidth="1"/>
    <col min="2" max="2" width="15.77734375" style="1" customWidth="1"/>
    <col min="3" max="4" width="22.21875" style="2" customWidth="1"/>
    <col min="5" max="5" width="22.21875" style="1" customWidth="1"/>
    <col min="6" max="6" width="10" style="1" bestFit="1" customWidth="1"/>
    <col min="7" max="11" width="15.77734375" style="1" customWidth="1"/>
    <col min="12" max="12" width="15.77734375" style="142" customWidth="1"/>
    <col min="13" max="13" width="15.77734375" style="1" customWidth="1"/>
    <col min="14" max="16384" width="8.88671875" style="1"/>
  </cols>
  <sheetData>
    <row r="1" spans="1:13" ht="19.5" customHeight="1">
      <c r="A1" s="114" t="str">
        <f>"Ver."&amp;変更履歴!$B$1</f>
        <v>Ver.10.1</v>
      </c>
    </row>
    <row r="2" spans="1:13" ht="19.5" customHeight="1">
      <c r="A2" s="4" t="s">
        <v>60</v>
      </c>
      <c r="C2" s="4"/>
    </row>
    <row r="4" spans="1:13" s="2" customFormat="1" ht="39.950000000000003" customHeight="1">
      <c r="A4" s="55" t="s">
        <v>18</v>
      </c>
      <c r="B4" s="56" t="s">
        <v>33</v>
      </c>
      <c r="C4" s="55" t="s">
        <v>28</v>
      </c>
      <c r="D4" s="55" t="s">
        <v>29</v>
      </c>
      <c r="E4" s="56" t="s">
        <v>30</v>
      </c>
      <c r="F4" s="56" t="s">
        <v>31</v>
      </c>
      <c r="G4" s="56" t="s">
        <v>32</v>
      </c>
      <c r="H4" s="57" t="s">
        <v>20</v>
      </c>
      <c r="I4" s="57" t="s">
        <v>25</v>
      </c>
      <c r="J4" s="57" t="s">
        <v>605</v>
      </c>
      <c r="K4" s="57" t="s">
        <v>23</v>
      </c>
      <c r="L4" s="171" t="s">
        <v>669</v>
      </c>
      <c r="M4" s="57" t="s">
        <v>706</v>
      </c>
    </row>
    <row r="5" spans="1:13" ht="19.5" customHeight="1">
      <c r="A5" s="82" t="s">
        <v>186</v>
      </c>
      <c r="B5" s="82" t="s">
        <v>186</v>
      </c>
      <c r="C5" s="80"/>
      <c r="D5" s="80"/>
      <c r="E5" s="81"/>
      <c r="F5" s="82" t="s">
        <v>186</v>
      </c>
      <c r="G5" s="84"/>
      <c r="H5" s="7"/>
      <c r="I5" s="7"/>
      <c r="J5" s="7"/>
      <c r="K5" s="7"/>
      <c r="L5" s="173"/>
      <c r="M5" s="7"/>
    </row>
    <row r="6" spans="1:13" ht="19.5" customHeight="1">
      <c r="A6" s="82" t="s">
        <v>186</v>
      </c>
      <c r="B6" s="82" t="s">
        <v>186</v>
      </c>
      <c r="C6" s="80"/>
      <c r="D6" s="80"/>
      <c r="E6" s="81"/>
      <c r="F6" s="82" t="s">
        <v>186</v>
      </c>
      <c r="G6" s="84"/>
      <c r="H6" s="7"/>
      <c r="I6" s="7"/>
      <c r="J6" s="7"/>
      <c r="K6" s="7"/>
      <c r="L6" s="173"/>
      <c r="M6" s="7"/>
    </row>
    <row r="7" spans="1:13" ht="19.5" customHeight="1">
      <c r="A7" s="82" t="s">
        <v>186</v>
      </c>
      <c r="B7" s="82" t="s">
        <v>186</v>
      </c>
      <c r="C7" s="80"/>
      <c r="D7" s="80"/>
      <c r="E7" s="81"/>
      <c r="F7" s="82" t="s">
        <v>186</v>
      </c>
      <c r="G7" s="83"/>
      <c r="H7" s="7"/>
      <c r="I7" s="7"/>
      <c r="J7" s="7"/>
      <c r="K7" s="7"/>
      <c r="L7" s="173"/>
      <c r="M7" s="7"/>
    </row>
    <row r="8" spans="1:13" ht="19.5" customHeight="1">
      <c r="A8" s="82" t="s">
        <v>186</v>
      </c>
      <c r="B8" s="82" t="s">
        <v>186</v>
      </c>
      <c r="C8" s="80"/>
      <c r="D8" s="80"/>
      <c r="E8" s="81"/>
      <c r="F8" s="82" t="s">
        <v>186</v>
      </c>
      <c r="G8" s="83"/>
      <c r="H8" s="7"/>
      <c r="I8" s="7"/>
      <c r="J8" s="7"/>
      <c r="K8" s="7"/>
      <c r="L8" s="173"/>
      <c r="M8" s="7"/>
    </row>
    <row r="9" spans="1:13" ht="19.5" customHeight="1">
      <c r="A9" s="82" t="s">
        <v>186</v>
      </c>
      <c r="B9" s="82" t="s">
        <v>186</v>
      </c>
      <c r="C9" s="80"/>
      <c r="D9" s="80"/>
      <c r="E9" s="81"/>
      <c r="F9" s="82" t="s">
        <v>186</v>
      </c>
      <c r="G9" s="83"/>
      <c r="H9" s="7"/>
      <c r="I9" s="7"/>
      <c r="J9" s="7"/>
      <c r="K9" s="7"/>
      <c r="L9" s="173"/>
      <c r="M9" s="7"/>
    </row>
    <row r="10" spans="1:13" ht="19.5" customHeight="1">
      <c r="A10" s="82" t="s">
        <v>186</v>
      </c>
      <c r="B10" s="82" t="s">
        <v>186</v>
      </c>
      <c r="C10" s="80"/>
      <c r="D10" s="80"/>
      <c r="E10" s="81"/>
      <c r="F10" s="82" t="s">
        <v>186</v>
      </c>
      <c r="G10" s="83"/>
      <c r="H10" s="7"/>
      <c r="I10" s="7"/>
      <c r="J10" s="7"/>
      <c r="K10" s="7"/>
      <c r="L10" s="173"/>
      <c r="M10" s="7"/>
    </row>
    <row r="11" spans="1:13" ht="19.5" customHeight="1">
      <c r="A11" s="82" t="s">
        <v>186</v>
      </c>
      <c r="B11" s="82" t="s">
        <v>186</v>
      </c>
      <c r="C11" s="80"/>
      <c r="D11" s="80"/>
      <c r="E11" s="81"/>
      <c r="F11" s="82" t="s">
        <v>186</v>
      </c>
      <c r="G11" s="83"/>
      <c r="H11" s="7"/>
      <c r="I11" s="7"/>
      <c r="J11" s="7"/>
      <c r="K11" s="7"/>
      <c r="L11" s="173"/>
      <c r="M11" s="7"/>
    </row>
    <row r="12" spans="1:13" ht="19.5" customHeight="1">
      <c r="A12" s="82" t="s">
        <v>186</v>
      </c>
      <c r="B12" s="82" t="s">
        <v>186</v>
      </c>
      <c r="C12" s="80"/>
      <c r="D12" s="80"/>
      <c r="E12" s="81"/>
      <c r="F12" s="82" t="s">
        <v>186</v>
      </c>
      <c r="G12" s="83"/>
      <c r="H12" s="7"/>
      <c r="I12" s="7"/>
      <c r="J12" s="7"/>
      <c r="K12" s="7"/>
      <c r="L12" s="173"/>
      <c r="M12" s="7"/>
    </row>
    <row r="13" spans="1:13" ht="19.5" customHeight="1">
      <c r="A13" s="82" t="s">
        <v>186</v>
      </c>
      <c r="B13" s="82" t="s">
        <v>186</v>
      </c>
      <c r="C13" s="80"/>
      <c r="D13" s="80"/>
      <c r="E13" s="81"/>
      <c r="F13" s="82" t="s">
        <v>186</v>
      </c>
      <c r="G13" s="83"/>
      <c r="H13" s="7"/>
      <c r="I13" s="7"/>
      <c r="J13" s="7"/>
      <c r="K13" s="7"/>
      <c r="L13" s="173"/>
      <c r="M13" s="7"/>
    </row>
    <row r="14" spans="1:13" ht="19.5" customHeight="1">
      <c r="A14" s="82" t="s">
        <v>186</v>
      </c>
      <c r="B14" s="82" t="s">
        <v>186</v>
      </c>
      <c r="C14" s="80"/>
      <c r="D14" s="80"/>
      <c r="E14" s="81"/>
      <c r="F14" s="82" t="s">
        <v>186</v>
      </c>
      <c r="G14" s="83"/>
      <c r="H14" s="7"/>
      <c r="I14" s="7"/>
      <c r="J14" s="7"/>
      <c r="K14" s="7"/>
      <c r="L14" s="173"/>
      <c r="M14" s="7"/>
    </row>
    <row r="15" spans="1:13" ht="19.5" customHeight="1">
      <c r="A15" s="82" t="s">
        <v>186</v>
      </c>
      <c r="B15" s="82" t="s">
        <v>186</v>
      </c>
      <c r="C15" s="80"/>
      <c r="D15" s="80"/>
      <c r="E15" s="81"/>
      <c r="F15" s="82" t="s">
        <v>186</v>
      </c>
      <c r="G15" s="83"/>
      <c r="H15" s="7"/>
      <c r="I15" s="7"/>
      <c r="J15" s="7"/>
      <c r="K15" s="7"/>
      <c r="L15" s="173"/>
      <c r="M15" s="7"/>
    </row>
    <row r="16" spans="1:13" ht="19.5" customHeight="1">
      <c r="A16" s="82" t="s">
        <v>186</v>
      </c>
      <c r="B16" s="82" t="s">
        <v>186</v>
      </c>
      <c r="C16" s="80"/>
      <c r="D16" s="80"/>
      <c r="E16" s="81"/>
      <c r="F16" s="82" t="s">
        <v>186</v>
      </c>
      <c r="G16" s="83"/>
      <c r="H16" s="7"/>
      <c r="I16" s="7"/>
      <c r="J16" s="7"/>
      <c r="K16" s="7"/>
      <c r="L16" s="173"/>
      <c r="M16" s="7"/>
    </row>
    <row r="17" spans="1:13" ht="19.5" customHeight="1">
      <c r="A17" s="82" t="s">
        <v>186</v>
      </c>
      <c r="B17" s="82" t="s">
        <v>186</v>
      </c>
      <c r="C17" s="80"/>
      <c r="D17" s="80"/>
      <c r="E17" s="81"/>
      <c r="F17" s="82" t="s">
        <v>186</v>
      </c>
      <c r="G17" s="83"/>
      <c r="H17" s="7"/>
      <c r="I17" s="7"/>
      <c r="J17" s="7"/>
      <c r="K17" s="7"/>
      <c r="L17" s="173"/>
      <c r="M17" s="7"/>
    </row>
    <row r="18" spans="1:13" ht="19.5" customHeight="1">
      <c r="A18" s="82" t="s">
        <v>186</v>
      </c>
      <c r="B18" s="82" t="s">
        <v>186</v>
      </c>
      <c r="C18" s="80"/>
      <c r="D18" s="80"/>
      <c r="E18" s="81"/>
      <c r="F18" s="82" t="s">
        <v>186</v>
      </c>
      <c r="G18" s="83"/>
      <c r="H18" s="7"/>
      <c r="I18" s="7"/>
      <c r="J18" s="7"/>
      <c r="K18" s="7"/>
      <c r="L18" s="173"/>
      <c r="M18" s="7"/>
    </row>
  </sheetData>
  <phoneticPr fontId="20"/>
  <conditionalFormatting sqref="E5:E17">
    <cfRule type="expression" dxfId="173" priority="4">
      <formula>COUNTIFS($A:$A,$A5,$E:$E,$E5)&gt;1</formula>
    </cfRule>
  </conditionalFormatting>
  <conditionalFormatting sqref="E18">
    <cfRule type="expression" dxfId="172" priority="3">
      <formula>COUNTIFS($A:$A,$A18,$E:$E,$E18)&gt;1</formula>
    </cfRule>
  </conditionalFormatting>
  <conditionalFormatting sqref="L5:L18">
    <cfRule type="expression" dxfId="171" priority="2">
      <formula>$A5="Yahoo!"</formula>
    </cfRule>
  </conditionalFormatting>
  <dataValidations count="3">
    <dataValidation type="list" allowBlank="1" showInputMessage="1" sqref="A5:A18" xr:uid="{00000000-0002-0000-0900-000000000000}">
      <formula1>媒体</formula1>
    </dataValidation>
    <dataValidation type="list" allowBlank="1" showInputMessage="1" sqref="B5:B18" xr:uid="{00000000-0002-0000-0900-000001000000}">
      <formula1>ステータス</formula1>
    </dataValidation>
    <dataValidation type="list" allowBlank="1" showInputMessage="1" sqref="F5:F18" xr:uid="{00000000-0002-0000-0900-000002000000}">
      <formula1>IF($A5="Google",G_マッチタイプ,IF($A5="Yahoo!",Y_マッチタイプ,選択肢なし))</formula1>
    </dataValidation>
  </dataValidations>
  <pageMargins left="0.7" right="0.7" top="0.75" bottom="0.75" header="0.3" footer="0.3"/>
  <pageSetup paperSize="9" scale="49" orientation="landscape" r:id="rId1"/>
  <extLst>
    <ext xmlns:x14="http://schemas.microsoft.com/office/spreadsheetml/2009/9/main" uri="{78C0D931-6437-407d-A8EE-F0AAD7539E65}">
      <x14:conditionalFormattings>
        <x14:conditionalFormatting xmlns:xm="http://schemas.microsoft.com/office/excel/2006/main">
          <x14:cfRule type="expression" priority="1" id="{D423B683-2E99-4841-94C9-2A89909F9099}">
            <xm:f>拡張テキスト!$A5="Yahoo!"</xm:f>
            <x14:dxf>
              <font>
                <color auto="1"/>
              </font>
              <fill>
                <patternFill>
                  <bgColor theme="0" tint="-0.499984740745262"/>
                </patternFill>
              </fill>
            </x14:dxf>
          </x14:cfRule>
          <xm:sqref>L5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5" tint="0.79998168889431442"/>
    <pageSetUpPr fitToPage="1"/>
  </sheetPr>
  <dimension ref="A1:BE108"/>
  <sheetViews>
    <sheetView showGridLines="0" view="pageBreakPreview" zoomScale="85" zoomScaleNormal="100" zoomScaleSheetLayoutView="85" workbookViewId="0">
      <pane ySplit="8" topLeftCell="A9" activePane="bottomLeft" state="frozen"/>
      <selection pane="bottomLeft"/>
    </sheetView>
  </sheetViews>
  <sheetFormatPr defaultColWidth="8.88671875" defaultRowHeight="19.5" customHeight="1"/>
  <cols>
    <col min="1" max="1" width="5.77734375" style="142" customWidth="1"/>
    <col min="2" max="4" width="15.77734375" style="142" customWidth="1"/>
    <col min="5" max="7" width="3.109375" style="142" bestFit="1" customWidth="1"/>
    <col min="8" max="8" width="4.77734375" style="142" hidden="1" customWidth="1"/>
    <col min="9" max="10" width="5.77734375" style="142" customWidth="1"/>
    <col min="11" max="11" width="2.5546875" style="142" bestFit="1" customWidth="1"/>
    <col min="12" max="12" width="5.77734375" style="142" customWidth="1"/>
    <col min="13" max="13" width="2.5546875" style="142" bestFit="1" customWidth="1"/>
    <col min="14" max="14" width="5.77734375" style="142" customWidth="1"/>
    <col min="15" max="15" width="15.77734375" style="142" customWidth="1"/>
    <col min="16" max="16" width="2.5546875" style="143" bestFit="1" customWidth="1"/>
    <col min="17" max="17" width="15.77734375" style="142" customWidth="1"/>
    <col min="18" max="18" width="2.5546875" style="143" bestFit="1" customWidth="1"/>
    <col min="19" max="19" width="15.77734375" style="142" customWidth="1"/>
    <col min="20" max="22" width="2.88671875" style="142" bestFit="1" customWidth="1"/>
    <col min="23" max="24" width="15.77734375" style="142" customWidth="1"/>
    <col min="25" max="25" width="1.77734375" style="142" hidden="1" customWidth="1"/>
    <col min="26" max="26" width="5.77734375" style="142" customWidth="1"/>
    <col min="27" max="27" width="18.77734375" style="142" customWidth="1"/>
    <col min="28" max="57" width="15.77734375" style="142" customWidth="1"/>
    <col min="58" max="16384" width="8.88671875" style="142"/>
  </cols>
  <sheetData>
    <row r="1" spans="1:57" ht="19.5" customHeight="1" thickBot="1">
      <c r="A1" s="114" t="str">
        <f>"Ver."&amp;変更履歴!$B$1</f>
        <v>Ver.10.1</v>
      </c>
      <c r="T1" s="143" t="s">
        <v>606</v>
      </c>
    </row>
    <row r="2" spans="1:57" ht="19.5" customHeight="1" thickBot="1">
      <c r="A2" s="144" t="s">
        <v>607</v>
      </c>
      <c r="T2" s="143" t="s">
        <v>608</v>
      </c>
      <c r="W2" s="145" t="s">
        <v>451</v>
      </c>
      <c r="X2" s="146">
        <f>H8+Y8</f>
        <v>0</v>
      </c>
    </row>
    <row r="3" spans="1:57" ht="19.5" customHeight="1">
      <c r="O3" s="143"/>
      <c r="Q3" s="143"/>
      <c r="S3" s="143"/>
      <c r="U3" s="143"/>
      <c r="V3" s="143"/>
      <c r="W3" s="143"/>
      <c r="X3" s="309"/>
    </row>
    <row r="4" spans="1:57" ht="19.5" customHeight="1">
      <c r="A4" s="147" t="s">
        <v>26</v>
      </c>
      <c r="B4" s="147"/>
      <c r="C4" s="147"/>
      <c r="D4" s="148"/>
      <c r="E4" s="148"/>
      <c r="F4" s="148"/>
      <c r="G4" s="148"/>
      <c r="H4" s="148"/>
      <c r="I4" s="148"/>
      <c r="J4" s="477" t="s">
        <v>609</v>
      </c>
      <c r="K4" s="478"/>
      <c r="L4" s="478"/>
      <c r="M4" s="478"/>
      <c r="N4" s="479"/>
      <c r="O4" s="480" t="s">
        <v>178</v>
      </c>
      <c r="P4" s="481"/>
      <c r="Q4" s="481"/>
      <c r="R4" s="481"/>
      <c r="S4" s="481"/>
      <c r="T4" s="481"/>
      <c r="U4" s="481"/>
      <c r="V4" s="481"/>
      <c r="W4" s="149"/>
      <c r="X4" s="149"/>
      <c r="AA4" s="147" t="s">
        <v>26</v>
      </c>
      <c r="AB4" s="147"/>
      <c r="AE4" s="143"/>
    </row>
    <row r="5" spans="1:57" ht="19.5" hidden="1" customHeight="1">
      <c r="A5" s="147"/>
      <c r="B5" s="147"/>
      <c r="C5" s="147"/>
      <c r="D5" s="148"/>
      <c r="E5" s="148"/>
      <c r="F5" s="148"/>
      <c r="G5" s="148"/>
      <c r="H5" s="148"/>
      <c r="I5" s="148"/>
      <c r="J5" s="150"/>
      <c r="K5" s="150"/>
      <c r="L5" s="150"/>
      <c r="M5" s="150"/>
      <c r="N5" s="150"/>
      <c r="O5" s="149"/>
      <c r="P5" s="149"/>
      <c r="Q5" s="149"/>
      <c r="R5" s="149"/>
      <c r="S5" s="149"/>
      <c r="T5" s="149"/>
      <c r="U5" s="149"/>
      <c r="V5" s="149"/>
      <c r="W5" s="149"/>
      <c r="X5" s="149"/>
      <c r="AA5" s="147"/>
      <c r="AB5" s="147">
        <f t="shared" ref="AB5:BE5" si="0">AB7</f>
        <v>1</v>
      </c>
      <c r="AC5" s="147">
        <f t="shared" si="0"/>
        <v>2</v>
      </c>
      <c r="AD5" s="147">
        <f t="shared" si="0"/>
        <v>3</v>
      </c>
      <c r="AE5" s="147">
        <f t="shared" si="0"/>
        <v>4</v>
      </c>
      <c r="AF5" s="147">
        <f t="shared" si="0"/>
        <v>5</v>
      </c>
      <c r="AG5" s="147">
        <f t="shared" si="0"/>
        <v>6</v>
      </c>
      <c r="AH5" s="147">
        <f t="shared" si="0"/>
        <v>7</v>
      </c>
      <c r="AI5" s="147">
        <f t="shared" si="0"/>
        <v>8</v>
      </c>
      <c r="AJ5" s="147">
        <f t="shared" si="0"/>
        <v>9</v>
      </c>
      <c r="AK5" s="147">
        <f t="shared" si="0"/>
        <v>10</v>
      </c>
      <c r="AL5" s="147">
        <f t="shared" si="0"/>
        <v>11</v>
      </c>
      <c r="AM5" s="147">
        <f t="shared" si="0"/>
        <v>12</v>
      </c>
      <c r="AN5" s="147">
        <f t="shared" si="0"/>
        <v>13</v>
      </c>
      <c r="AO5" s="147">
        <f t="shared" si="0"/>
        <v>14</v>
      </c>
      <c r="AP5" s="147">
        <f t="shared" si="0"/>
        <v>15</v>
      </c>
      <c r="AQ5" s="147">
        <f t="shared" si="0"/>
        <v>16</v>
      </c>
      <c r="AR5" s="147">
        <f t="shared" si="0"/>
        <v>17</v>
      </c>
      <c r="AS5" s="147">
        <f t="shared" si="0"/>
        <v>18</v>
      </c>
      <c r="AT5" s="147">
        <f t="shared" si="0"/>
        <v>19</v>
      </c>
      <c r="AU5" s="147">
        <f t="shared" si="0"/>
        <v>20</v>
      </c>
      <c r="AV5" s="147">
        <f t="shared" si="0"/>
        <v>21</v>
      </c>
      <c r="AW5" s="147">
        <f t="shared" si="0"/>
        <v>22</v>
      </c>
      <c r="AX5" s="147">
        <f t="shared" si="0"/>
        <v>23</v>
      </c>
      <c r="AY5" s="147">
        <f t="shared" si="0"/>
        <v>24</v>
      </c>
      <c r="AZ5" s="147">
        <f t="shared" si="0"/>
        <v>25</v>
      </c>
      <c r="BA5" s="147">
        <f t="shared" si="0"/>
        <v>26</v>
      </c>
      <c r="BB5" s="147">
        <f t="shared" si="0"/>
        <v>27</v>
      </c>
      <c r="BC5" s="147">
        <f t="shared" si="0"/>
        <v>28</v>
      </c>
      <c r="BD5" s="147">
        <f t="shared" si="0"/>
        <v>29</v>
      </c>
      <c r="BE5" s="147">
        <f t="shared" si="0"/>
        <v>30</v>
      </c>
    </row>
    <row r="6" spans="1:57" ht="19.5" hidden="1" customHeight="1">
      <c r="A6" s="147"/>
      <c r="B6" s="147"/>
      <c r="C6" s="147"/>
      <c r="D6" s="148"/>
      <c r="E6" s="148"/>
      <c r="F6" s="148"/>
      <c r="G6" s="148"/>
      <c r="H6" s="148"/>
      <c r="I6" s="148"/>
      <c r="J6" s="150"/>
      <c r="K6" s="150"/>
      <c r="L6" s="150"/>
      <c r="M6" s="150"/>
      <c r="N6" s="150"/>
      <c r="O6" s="149"/>
      <c r="P6" s="149"/>
      <c r="Q6" s="149"/>
      <c r="R6" s="149"/>
      <c r="S6" s="149"/>
      <c r="T6" s="149"/>
      <c r="U6" s="149"/>
      <c r="V6" s="149"/>
      <c r="W6" s="149"/>
      <c r="X6" s="149"/>
      <c r="AA6" s="147"/>
      <c r="AB6" s="147">
        <f t="shared" ref="AB6:BE6" si="1">COUNTA(AB9:AB108)</f>
        <v>0</v>
      </c>
      <c r="AC6" s="147">
        <f t="shared" si="1"/>
        <v>0</v>
      </c>
      <c r="AD6" s="147">
        <f t="shared" si="1"/>
        <v>0</v>
      </c>
      <c r="AE6" s="147">
        <f t="shared" si="1"/>
        <v>0</v>
      </c>
      <c r="AF6" s="147">
        <f t="shared" si="1"/>
        <v>0</v>
      </c>
      <c r="AG6" s="147">
        <f t="shared" si="1"/>
        <v>0</v>
      </c>
      <c r="AH6" s="147">
        <f t="shared" si="1"/>
        <v>0</v>
      </c>
      <c r="AI6" s="147">
        <f t="shared" si="1"/>
        <v>0</v>
      </c>
      <c r="AJ6" s="147">
        <f t="shared" si="1"/>
        <v>0</v>
      </c>
      <c r="AK6" s="147">
        <f t="shared" si="1"/>
        <v>0</v>
      </c>
      <c r="AL6" s="147">
        <f t="shared" si="1"/>
        <v>0</v>
      </c>
      <c r="AM6" s="147">
        <f t="shared" si="1"/>
        <v>0</v>
      </c>
      <c r="AN6" s="147">
        <f t="shared" si="1"/>
        <v>0</v>
      </c>
      <c r="AO6" s="147">
        <f t="shared" si="1"/>
        <v>0</v>
      </c>
      <c r="AP6" s="147">
        <f t="shared" si="1"/>
        <v>0</v>
      </c>
      <c r="AQ6" s="147">
        <f t="shared" si="1"/>
        <v>0</v>
      </c>
      <c r="AR6" s="147">
        <f t="shared" si="1"/>
        <v>0</v>
      </c>
      <c r="AS6" s="147">
        <f t="shared" si="1"/>
        <v>0</v>
      </c>
      <c r="AT6" s="147">
        <f t="shared" si="1"/>
        <v>0</v>
      </c>
      <c r="AU6" s="147">
        <f t="shared" si="1"/>
        <v>0</v>
      </c>
      <c r="AV6" s="147">
        <f t="shared" si="1"/>
        <v>0</v>
      </c>
      <c r="AW6" s="147">
        <f t="shared" si="1"/>
        <v>0</v>
      </c>
      <c r="AX6" s="147">
        <f t="shared" si="1"/>
        <v>0</v>
      </c>
      <c r="AY6" s="147">
        <f t="shared" si="1"/>
        <v>0</v>
      </c>
      <c r="AZ6" s="147">
        <f t="shared" si="1"/>
        <v>0</v>
      </c>
      <c r="BA6" s="147">
        <f t="shared" si="1"/>
        <v>0</v>
      </c>
      <c r="BB6" s="147">
        <f t="shared" si="1"/>
        <v>0</v>
      </c>
      <c r="BC6" s="147">
        <f t="shared" si="1"/>
        <v>0</v>
      </c>
      <c r="BD6" s="147">
        <f t="shared" si="1"/>
        <v>0</v>
      </c>
      <c r="BE6" s="147">
        <f t="shared" si="1"/>
        <v>0</v>
      </c>
    </row>
    <row r="7" spans="1:57" ht="20.100000000000001" customHeight="1">
      <c r="A7" s="482" t="s">
        <v>97</v>
      </c>
      <c r="B7" s="483"/>
      <c r="C7" s="483"/>
      <c r="D7" s="483"/>
      <c r="E7" s="483"/>
      <c r="F7" s="483"/>
      <c r="G7" s="484"/>
      <c r="H7" s="148"/>
      <c r="I7" s="148"/>
      <c r="J7" s="485" t="s">
        <v>610</v>
      </c>
      <c r="K7" s="485"/>
      <c r="L7" s="485"/>
      <c r="M7" s="485"/>
      <c r="N7" s="485"/>
      <c r="O7" s="485"/>
      <c r="P7" s="485"/>
      <c r="Q7" s="485"/>
      <c r="R7" s="485"/>
      <c r="S7" s="485"/>
      <c r="T7" s="485"/>
      <c r="U7" s="485"/>
      <c r="V7" s="485"/>
      <c r="W7" s="485"/>
      <c r="X7" s="485"/>
      <c r="AA7" s="151" t="s">
        <v>611</v>
      </c>
      <c r="AB7" s="152">
        <v>1</v>
      </c>
      <c r="AC7" s="152">
        <v>2</v>
      </c>
      <c r="AD7" s="152">
        <v>3</v>
      </c>
      <c r="AE7" s="152">
        <v>4</v>
      </c>
      <c r="AF7" s="152">
        <v>5</v>
      </c>
      <c r="AG7" s="152">
        <v>6</v>
      </c>
      <c r="AH7" s="152">
        <v>7</v>
      </c>
      <c r="AI7" s="152">
        <v>8</v>
      </c>
      <c r="AJ7" s="152">
        <v>9</v>
      </c>
      <c r="AK7" s="152">
        <v>10</v>
      </c>
      <c r="AL7" s="152">
        <v>11</v>
      </c>
      <c r="AM7" s="152">
        <v>12</v>
      </c>
      <c r="AN7" s="152">
        <v>13</v>
      </c>
      <c r="AO7" s="152">
        <v>14</v>
      </c>
      <c r="AP7" s="152">
        <v>15</v>
      </c>
      <c r="AQ7" s="152">
        <v>16</v>
      </c>
      <c r="AR7" s="152">
        <v>17</v>
      </c>
      <c r="AS7" s="152">
        <v>18</v>
      </c>
      <c r="AT7" s="152">
        <v>19</v>
      </c>
      <c r="AU7" s="152">
        <v>20</v>
      </c>
      <c r="AV7" s="152">
        <v>21</v>
      </c>
      <c r="AW7" s="152">
        <v>22</v>
      </c>
      <c r="AX7" s="152">
        <v>23</v>
      </c>
      <c r="AY7" s="152">
        <v>24</v>
      </c>
      <c r="AZ7" s="152">
        <v>25</v>
      </c>
      <c r="BA7" s="152">
        <v>26</v>
      </c>
      <c r="BB7" s="152">
        <v>27</v>
      </c>
      <c r="BC7" s="152">
        <v>28</v>
      </c>
      <c r="BD7" s="152">
        <v>29</v>
      </c>
      <c r="BE7" s="152">
        <v>30</v>
      </c>
    </row>
    <row r="8" spans="1:57" ht="20.100000000000001" customHeight="1">
      <c r="A8" s="153" t="s">
        <v>612</v>
      </c>
      <c r="B8" s="153" t="s">
        <v>613</v>
      </c>
      <c r="C8" s="153" t="s">
        <v>614</v>
      </c>
      <c r="D8" s="153" t="s">
        <v>7</v>
      </c>
      <c r="E8" s="153" t="s">
        <v>16</v>
      </c>
      <c r="F8" s="153" t="s">
        <v>615</v>
      </c>
      <c r="G8" s="153" t="s">
        <v>17</v>
      </c>
      <c r="H8" s="148">
        <f>SUM(H9:H108)</f>
        <v>0</v>
      </c>
      <c r="I8" s="148"/>
      <c r="J8" s="154" t="s">
        <v>616</v>
      </c>
      <c r="K8" s="154" t="s">
        <v>617</v>
      </c>
      <c r="L8" s="154" t="s">
        <v>618</v>
      </c>
      <c r="M8" s="154" t="s">
        <v>617</v>
      </c>
      <c r="N8" s="154" t="s">
        <v>619</v>
      </c>
      <c r="O8" s="154" t="s">
        <v>620</v>
      </c>
      <c r="P8" s="154" t="s">
        <v>617</v>
      </c>
      <c r="Q8" s="154" t="s">
        <v>621</v>
      </c>
      <c r="R8" s="154" t="s">
        <v>622</v>
      </c>
      <c r="S8" s="154" t="s">
        <v>623</v>
      </c>
      <c r="T8" s="154" t="s">
        <v>16</v>
      </c>
      <c r="U8" s="154" t="s">
        <v>624</v>
      </c>
      <c r="V8" s="154" t="s">
        <v>17</v>
      </c>
      <c r="W8" s="154" t="s">
        <v>625</v>
      </c>
      <c r="X8" s="154" t="s">
        <v>7</v>
      </c>
      <c r="Y8" s="148">
        <f>SUM(Y9:Y108)</f>
        <v>0</v>
      </c>
      <c r="AA8" s="151" t="s">
        <v>81</v>
      </c>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row>
    <row r="9" spans="1:57" ht="19.5" customHeight="1">
      <c r="A9" s="156"/>
      <c r="B9" s="157" t="str">
        <f t="shared" ref="B9:B40" si="2">IFERROR(IF(HLOOKUP(A9,$7:$8,MATCH("キーワードNo.／カテゴリ名",$AA$7:$AA$8,0),FALSE)="","",HLOOKUP(A9,$7:$8,MATCH("キーワードNo.／カテゴリ名",$AA$7:$AA$8,0),FALSE)),"【No.記載で自動入力】")</f>
        <v>【No.記載で自動入力】</v>
      </c>
      <c r="C9" s="158"/>
      <c r="D9" s="158"/>
      <c r="E9" s="159" t="s">
        <v>15</v>
      </c>
      <c r="F9" s="159" t="s">
        <v>15</v>
      </c>
      <c r="G9" s="159" t="s">
        <v>15</v>
      </c>
      <c r="H9" s="148">
        <f>IF($A9="",0,HLOOKUP($A9,$AB$5:$BE$6,2,0)*COUNTIF($E9:$G9,"●"))</f>
        <v>0</v>
      </c>
      <c r="I9" s="148"/>
      <c r="J9" s="160"/>
      <c r="K9" s="161" t="s">
        <v>622</v>
      </c>
      <c r="L9" s="160"/>
      <c r="M9" s="161" t="s">
        <v>0</v>
      </c>
      <c r="N9" s="160"/>
      <c r="O9" s="161" t="str">
        <f t="shared" ref="O9:O40" si="3">IFERROR(IF(HLOOKUP(J9,$7:$8,MATCH("キーワードNo.／カテゴリ名",$AA$7:$AA$8,0),FALSE)="","",HLOOKUP(J9,$7:$8,MATCH("キーワードNo.／カテゴリ名",$AA$7:$AA$8,0),FALSE)),"【No.記載で自動入力】")</f>
        <v>【No.記載で自動入力】</v>
      </c>
      <c r="P9" s="161" t="s">
        <v>626</v>
      </c>
      <c r="Q9" s="161" t="str">
        <f t="shared" ref="Q9:Q40" si="4">IFERROR(IF(HLOOKUP(L9,$7:$8,MATCH("キーワードNo.／カテゴリ名",$AA$7:$AA$8,0),FALSE)="","",HLOOKUP(L9,$7:$8,MATCH("キーワードNo.／カテゴリ名",$AA$7:$AA$8,0),FALSE)),"【No.記載で自動入力】")</f>
        <v>【No.記載で自動入力】</v>
      </c>
      <c r="R9" s="161" t="s">
        <v>0</v>
      </c>
      <c r="S9" s="161" t="str">
        <f t="shared" ref="S9:S40" si="5">IFERROR(IF(HLOOKUP(N9,$7:$8,MATCH("キーワードNo.／カテゴリ名",$AA$7:$AA$8,0),FALSE)="","",HLOOKUP(N9,$7:$8,MATCH("キーワードNo.／カテゴリ名",$AA$7:$AA$8,0),FALSE)),"【No.記載で自動入力】")</f>
        <v>【No.記載で自動入力】</v>
      </c>
      <c r="T9" s="160" t="s">
        <v>15</v>
      </c>
      <c r="U9" s="160" t="s">
        <v>15</v>
      </c>
      <c r="V9" s="160" t="s">
        <v>15</v>
      </c>
      <c r="W9" s="162"/>
      <c r="X9" s="162"/>
      <c r="Y9" s="163">
        <f>IF($J9="",0,IF($N9="",HLOOKUP($J9,$AB$5:$BE$6,2,0)*HLOOKUP($L9,$AB$5:$BE$6,2,0)*COUNTIF($T9:$V9,"●"),HLOOKUP($J9,$AB$5:$BE$6,2,0)*HLOOKUP($L9,$AB$5:$BE$6,2,0)*HLOOKUP($N9,$AB$5:$BE$6,2,0)*COUNTIF($T9:$V9,"●")))</f>
        <v>0</v>
      </c>
      <c r="AA9" s="164" t="s">
        <v>627</v>
      </c>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row>
    <row r="10" spans="1:57" ht="19.5" customHeight="1">
      <c r="A10" s="166"/>
      <c r="B10" s="157" t="str">
        <f t="shared" si="2"/>
        <v>【No.記載で自動入力】</v>
      </c>
      <c r="C10" s="158"/>
      <c r="D10" s="158"/>
      <c r="E10" s="159" t="s">
        <v>15</v>
      </c>
      <c r="F10" s="159" t="s">
        <v>15</v>
      </c>
      <c r="G10" s="159" t="s">
        <v>15</v>
      </c>
      <c r="H10" s="148">
        <f t="shared" ref="H10:H73" si="6">IF($A10="",0,HLOOKUP($A10,$AB$5:$BE$6,2,0)*COUNTIF($E10:$G10,"●"))</f>
        <v>0</v>
      </c>
      <c r="I10" s="148"/>
      <c r="J10" s="160"/>
      <c r="K10" s="161" t="s">
        <v>628</v>
      </c>
      <c r="L10" s="160"/>
      <c r="M10" s="161" t="s">
        <v>0</v>
      </c>
      <c r="N10" s="160"/>
      <c r="O10" s="161" t="str">
        <f t="shared" si="3"/>
        <v>【No.記載で自動入力】</v>
      </c>
      <c r="P10" s="161" t="s">
        <v>629</v>
      </c>
      <c r="Q10" s="161" t="str">
        <f t="shared" si="4"/>
        <v>【No.記載で自動入力】</v>
      </c>
      <c r="R10" s="161" t="s">
        <v>626</v>
      </c>
      <c r="S10" s="161" t="str">
        <f t="shared" si="5"/>
        <v>【No.記載で自動入力】</v>
      </c>
      <c r="T10" s="160" t="s">
        <v>15</v>
      </c>
      <c r="U10" s="160" t="s">
        <v>15</v>
      </c>
      <c r="V10" s="160" t="s">
        <v>15</v>
      </c>
      <c r="W10" s="162"/>
      <c r="X10" s="162"/>
      <c r="Y10" s="163">
        <f t="shared" ref="Y10:Y73" si="7">IF($J10="",0,IF($N10="",HLOOKUP($J10,$AB$5:$BE$6,2,0)*HLOOKUP($L10,$AB$5:$BE$6,2,0)*COUNTIF($T10:$V10,"●"),HLOOKUP($J10,$AB$5:$BE$6,2,0)*HLOOKUP($L10,$AB$5:$BE$6,2,0)*HLOOKUP($N10,$AB$5:$BE$6,2,0)*COUNTIF($T10:$V10,"●")))</f>
        <v>0</v>
      </c>
      <c r="AA10" s="164" t="s">
        <v>62</v>
      </c>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row>
    <row r="11" spans="1:57" ht="19.5" customHeight="1">
      <c r="A11" s="166"/>
      <c r="B11" s="157" t="str">
        <f>IFERROR(IF(HLOOKUP(A11,$7:$8,MATCH("キーワードNo.／カテゴリ名",$AA$7:$AA$8,0),FALSE)="","",HLOOKUP(A11,$7:$8,MATCH("キーワードNo.／カテゴリ名",$AA$7:$AA$8,0),FALSE)),"【No.記載で自動入力】")</f>
        <v>【No.記載で自動入力】</v>
      </c>
      <c r="C11" s="158"/>
      <c r="D11" s="158"/>
      <c r="E11" s="159" t="s">
        <v>15</v>
      </c>
      <c r="F11" s="159" t="s">
        <v>15</v>
      </c>
      <c r="G11" s="159" t="s">
        <v>15</v>
      </c>
      <c r="H11" s="148">
        <f t="shared" si="6"/>
        <v>0</v>
      </c>
      <c r="I11" s="148"/>
      <c r="J11" s="160"/>
      <c r="K11" s="161" t="s">
        <v>0</v>
      </c>
      <c r="L11" s="160"/>
      <c r="M11" s="161" t="s">
        <v>0</v>
      </c>
      <c r="N11" s="160"/>
      <c r="O11" s="161" t="str">
        <f t="shared" si="3"/>
        <v>【No.記載で自動入力】</v>
      </c>
      <c r="P11" s="161" t="s">
        <v>626</v>
      </c>
      <c r="Q11" s="161" t="str">
        <f t="shared" si="4"/>
        <v>【No.記載で自動入力】</v>
      </c>
      <c r="R11" s="161" t="s">
        <v>0</v>
      </c>
      <c r="S11" s="161" t="str">
        <f t="shared" si="5"/>
        <v>【No.記載で自動入力】</v>
      </c>
      <c r="T11" s="160" t="s">
        <v>15</v>
      </c>
      <c r="U11" s="160" t="s">
        <v>15</v>
      </c>
      <c r="V11" s="160" t="s">
        <v>15</v>
      </c>
      <c r="W11" s="162"/>
      <c r="X11" s="162"/>
      <c r="Y11" s="163">
        <f t="shared" si="7"/>
        <v>0</v>
      </c>
      <c r="AA11" s="164" t="s">
        <v>63</v>
      </c>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row>
    <row r="12" spans="1:57" ht="19.5" customHeight="1">
      <c r="A12" s="166"/>
      <c r="B12" s="157" t="str">
        <f t="shared" si="2"/>
        <v>【No.記載で自動入力】</v>
      </c>
      <c r="C12" s="158"/>
      <c r="D12" s="158"/>
      <c r="E12" s="159" t="s">
        <v>15</v>
      </c>
      <c r="F12" s="159" t="s">
        <v>15</v>
      </c>
      <c r="G12" s="159" t="s">
        <v>15</v>
      </c>
      <c r="H12" s="148">
        <f t="shared" si="6"/>
        <v>0</v>
      </c>
      <c r="I12" s="148"/>
      <c r="J12" s="160"/>
      <c r="K12" s="161" t="s">
        <v>0</v>
      </c>
      <c r="L12" s="160"/>
      <c r="M12" s="161" t="s">
        <v>0</v>
      </c>
      <c r="N12" s="160"/>
      <c r="O12" s="161" t="str">
        <f t="shared" si="3"/>
        <v>【No.記載で自動入力】</v>
      </c>
      <c r="P12" s="161" t="s">
        <v>626</v>
      </c>
      <c r="Q12" s="161" t="str">
        <f t="shared" si="4"/>
        <v>【No.記載で自動入力】</v>
      </c>
      <c r="R12" s="161" t="s">
        <v>0</v>
      </c>
      <c r="S12" s="161" t="str">
        <f t="shared" si="5"/>
        <v>【No.記載で自動入力】</v>
      </c>
      <c r="T12" s="160" t="s">
        <v>15</v>
      </c>
      <c r="U12" s="160" t="s">
        <v>15</v>
      </c>
      <c r="V12" s="160" t="s">
        <v>15</v>
      </c>
      <c r="W12" s="162"/>
      <c r="X12" s="162"/>
      <c r="Y12" s="163">
        <f t="shared" si="7"/>
        <v>0</v>
      </c>
      <c r="AA12" s="164" t="s">
        <v>64</v>
      </c>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row>
    <row r="13" spans="1:57" ht="19.5" customHeight="1">
      <c r="A13" s="166"/>
      <c r="B13" s="157" t="str">
        <f t="shared" si="2"/>
        <v>【No.記載で自動入力】</v>
      </c>
      <c r="C13" s="158"/>
      <c r="D13" s="158"/>
      <c r="E13" s="159" t="s">
        <v>15</v>
      </c>
      <c r="F13" s="159" t="s">
        <v>15</v>
      </c>
      <c r="G13" s="159" t="s">
        <v>15</v>
      </c>
      <c r="H13" s="148">
        <f t="shared" si="6"/>
        <v>0</v>
      </c>
      <c r="I13" s="148"/>
      <c r="J13" s="160"/>
      <c r="K13" s="161" t="s">
        <v>0</v>
      </c>
      <c r="L13" s="160"/>
      <c r="M13" s="161" t="s">
        <v>0</v>
      </c>
      <c r="N13" s="160"/>
      <c r="O13" s="161" t="str">
        <f t="shared" si="3"/>
        <v>【No.記載で自動入力】</v>
      </c>
      <c r="P13" s="161" t="s">
        <v>629</v>
      </c>
      <c r="Q13" s="161" t="str">
        <f t="shared" si="4"/>
        <v>【No.記載で自動入力】</v>
      </c>
      <c r="R13" s="161" t="s">
        <v>0</v>
      </c>
      <c r="S13" s="161" t="str">
        <f t="shared" si="5"/>
        <v>【No.記載で自動入力】</v>
      </c>
      <c r="T13" s="160" t="s">
        <v>15</v>
      </c>
      <c r="U13" s="160" t="s">
        <v>15</v>
      </c>
      <c r="V13" s="160" t="s">
        <v>15</v>
      </c>
      <c r="W13" s="162"/>
      <c r="X13" s="162"/>
      <c r="Y13" s="163">
        <f t="shared" si="7"/>
        <v>0</v>
      </c>
      <c r="AA13" s="164" t="s">
        <v>65</v>
      </c>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row>
    <row r="14" spans="1:57" ht="19.5" customHeight="1">
      <c r="A14" s="166"/>
      <c r="B14" s="157" t="str">
        <f t="shared" si="2"/>
        <v>【No.記載で自動入力】</v>
      </c>
      <c r="C14" s="158"/>
      <c r="D14" s="158"/>
      <c r="E14" s="159" t="s">
        <v>15</v>
      </c>
      <c r="F14" s="159" t="s">
        <v>15</v>
      </c>
      <c r="G14" s="159" t="s">
        <v>15</v>
      </c>
      <c r="H14" s="148">
        <f t="shared" si="6"/>
        <v>0</v>
      </c>
      <c r="I14" s="148"/>
      <c r="J14" s="160"/>
      <c r="K14" s="161" t="s">
        <v>0</v>
      </c>
      <c r="L14" s="160"/>
      <c r="M14" s="161" t="s">
        <v>0</v>
      </c>
      <c r="N14" s="160"/>
      <c r="O14" s="161" t="str">
        <f t="shared" si="3"/>
        <v>【No.記載で自動入力】</v>
      </c>
      <c r="P14" s="161" t="s">
        <v>629</v>
      </c>
      <c r="Q14" s="161" t="str">
        <f t="shared" si="4"/>
        <v>【No.記載で自動入力】</v>
      </c>
      <c r="R14" s="161" t="s">
        <v>0</v>
      </c>
      <c r="S14" s="161" t="str">
        <f t="shared" si="5"/>
        <v>【No.記載で自動入力】</v>
      </c>
      <c r="T14" s="160" t="s">
        <v>15</v>
      </c>
      <c r="U14" s="160" t="s">
        <v>15</v>
      </c>
      <c r="V14" s="160" t="s">
        <v>15</v>
      </c>
      <c r="W14" s="162"/>
      <c r="X14" s="162"/>
      <c r="Y14" s="163">
        <f t="shared" si="7"/>
        <v>0</v>
      </c>
      <c r="AA14" s="164" t="s">
        <v>66</v>
      </c>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row>
    <row r="15" spans="1:57" ht="19.5" customHeight="1">
      <c r="A15" s="166"/>
      <c r="B15" s="157" t="str">
        <f t="shared" si="2"/>
        <v>【No.記載で自動入力】</v>
      </c>
      <c r="C15" s="158"/>
      <c r="D15" s="158"/>
      <c r="E15" s="159" t="s">
        <v>15</v>
      </c>
      <c r="F15" s="159" t="s">
        <v>15</v>
      </c>
      <c r="G15" s="159" t="s">
        <v>15</v>
      </c>
      <c r="H15" s="148">
        <f t="shared" si="6"/>
        <v>0</v>
      </c>
      <c r="I15" s="148"/>
      <c r="J15" s="160"/>
      <c r="K15" s="161" t="s">
        <v>0</v>
      </c>
      <c r="L15" s="160"/>
      <c r="M15" s="161" t="s">
        <v>0</v>
      </c>
      <c r="N15" s="160"/>
      <c r="O15" s="161" t="str">
        <f t="shared" si="3"/>
        <v>【No.記載で自動入力】</v>
      </c>
      <c r="P15" s="161" t="s">
        <v>626</v>
      </c>
      <c r="Q15" s="161" t="str">
        <f t="shared" si="4"/>
        <v>【No.記載で自動入力】</v>
      </c>
      <c r="R15" s="161" t="s">
        <v>0</v>
      </c>
      <c r="S15" s="161" t="str">
        <f t="shared" si="5"/>
        <v>【No.記載で自動入力】</v>
      </c>
      <c r="T15" s="160" t="s">
        <v>15</v>
      </c>
      <c r="U15" s="160" t="s">
        <v>15</v>
      </c>
      <c r="V15" s="160" t="s">
        <v>15</v>
      </c>
      <c r="W15" s="162"/>
      <c r="X15" s="162"/>
      <c r="Y15" s="163">
        <f t="shared" si="7"/>
        <v>0</v>
      </c>
      <c r="AA15" s="164" t="s">
        <v>67</v>
      </c>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row>
    <row r="16" spans="1:57" ht="19.5" customHeight="1">
      <c r="A16" s="166"/>
      <c r="B16" s="157" t="str">
        <f t="shared" si="2"/>
        <v>【No.記載で自動入力】</v>
      </c>
      <c r="C16" s="158"/>
      <c r="D16" s="158"/>
      <c r="E16" s="159" t="s">
        <v>15</v>
      </c>
      <c r="F16" s="159" t="s">
        <v>15</v>
      </c>
      <c r="G16" s="159" t="s">
        <v>15</v>
      </c>
      <c r="H16" s="148">
        <f t="shared" si="6"/>
        <v>0</v>
      </c>
      <c r="I16" s="148"/>
      <c r="J16" s="160"/>
      <c r="K16" s="161" t="s">
        <v>0</v>
      </c>
      <c r="L16" s="160"/>
      <c r="M16" s="161" t="s">
        <v>0</v>
      </c>
      <c r="N16" s="160"/>
      <c r="O16" s="161" t="str">
        <f t="shared" si="3"/>
        <v>【No.記載で自動入力】</v>
      </c>
      <c r="P16" s="161" t="s">
        <v>626</v>
      </c>
      <c r="Q16" s="161" t="str">
        <f t="shared" si="4"/>
        <v>【No.記載で自動入力】</v>
      </c>
      <c r="R16" s="161" t="s">
        <v>0</v>
      </c>
      <c r="S16" s="161" t="str">
        <f t="shared" si="5"/>
        <v>【No.記載で自動入力】</v>
      </c>
      <c r="T16" s="160" t="s">
        <v>15</v>
      </c>
      <c r="U16" s="160" t="s">
        <v>15</v>
      </c>
      <c r="V16" s="160" t="s">
        <v>15</v>
      </c>
      <c r="W16" s="162"/>
      <c r="X16" s="162"/>
      <c r="Y16" s="163">
        <f t="shared" si="7"/>
        <v>0</v>
      </c>
      <c r="AA16" s="164" t="s">
        <v>68</v>
      </c>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row>
    <row r="17" spans="1:57" ht="19.5" customHeight="1">
      <c r="A17" s="166"/>
      <c r="B17" s="157" t="str">
        <f t="shared" si="2"/>
        <v>【No.記載で自動入力】</v>
      </c>
      <c r="C17" s="158"/>
      <c r="D17" s="158"/>
      <c r="E17" s="159" t="s">
        <v>15</v>
      </c>
      <c r="F17" s="159" t="s">
        <v>15</v>
      </c>
      <c r="G17" s="159" t="s">
        <v>15</v>
      </c>
      <c r="H17" s="148">
        <f t="shared" si="6"/>
        <v>0</v>
      </c>
      <c r="I17" s="148"/>
      <c r="J17" s="160"/>
      <c r="K17" s="161" t="s">
        <v>0</v>
      </c>
      <c r="L17" s="160"/>
      <c r="M17" s="161" t="s">
        <v>0</v>
      </c>
      <c r="N17" s="160"/>
      <c r="O17" s="161" t="str">
        <f t="shared" si="3"/>
        <v>【No.記載で自動入力】</v>
      </c>
      <c r="P17" s="161" t="s">
        <v>626</v>
      </c>
      <c r="Q17" s="161" t="str">
        <f t="shared" si="4"/>
        <v>【No.記載で自動入力】</v>
      </c>
      <c r="R17" s="161" t="s">
        <v>0</v>
      </c>
      <c r="S17" s="161" t="str">
        <f t="shared" si="5"/>
        <v>【No.記載で自動入力】</v>
      </c>
      <c r="T17" s="160" t="s">
        <v>15</v>
      </c>
      <c r="U17" s="160" t="s">
        <v>15</v>
      </c>
      <c r="V17" s="160" t="s">
        <v>15</v>
      </c>
      <c r="W17" s="162"/>
      <c r="X17" s="162"/>
      <c r="Y17" s="163">
        <f t="shared" si="7"/>
        <v>0</v>
      </c>
      <c r="AA17" s="164" t="s">
        <v>69</v>
      </c>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row>
    <row r="18" spans="1:57" ht="19.5" customHeight="1">
      <c r="A18" s="166"/>
      <c r="B18" s="157" t="str">
        <f t="shared" si="2"/>
        <v>【No.記載で自動入力】</v>
      </c>
      <c r="C18" s="158"/>
      <c r="D18" s="158"/>
      <c r="E18" s="159" t="s">
        <v>15</v>
      </c>
      <c r="F18" s="159" t="s">
        <v>15</v>
      </c>
      <c r="G18" s="159" t="s">
        <v>15</v>
      </c>
      <c r="H18" s="148">
        <f t="shared" si="6"/>
        <v>0</v>
      </c>
      <c r="I18" s="148"/>
      <c r="J18" s="160"/>
      <c r="K18" s="161" t="s">
        <v>0</v>
      </c>
      <c r="L18" s="160"/>
      <c r="M18" s="161" t="s">
        <v>0</v>
      </c>
      <c r="N18" s="160"/>
      <c r="O18" s="161" t="str">
        <f t="shared" si="3"/>
        <v>【No.記載で自動入力】</v>
      </c>
      <c r="P18" s="161" t="s">
        <v>629</v>
      </c>
      <c r="Q18" s="161" t="str">
        <f t="shared" si="4"/>
        <v>【No.記載で自動入力】</v>
      </c>
      <c r="R18" s="161" t="s">
        <v>0</v>
      </c>
      <c r="S18" s="161" t="str">
        <f t="shared" si="5"/>
        <v>【No.記載で自動入力】</v>
      </c>
      <c r="T18" s="160" t="s">
        <v>15</v>
      </c>
      <c r="U18" s="160" t="s">
        <v>15</v>
      </c>
      <c r="V18" s="160" t="s">
        <v>15</v>
      </c>
      <c r="W18" s="162"/>
      <c r="X18" s="162"/>
      <c r="Y18" s="163">
        <f t="shared" si="7"/>
        <v>0</v>
      </c>
      <c r="AA18" s="164" t="s">
        <v>70</v>
      </c>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row>
    <row r="19" spans="1:57" ht="19.5" customHeight="1">
      <c r="A19" s="166"/>
      <c r="B19" s="157" t="str">
        <f t="shared" si="2"/>
        <v>【No.記載で自動入力】</v>
      </c>
      <c r="C19" s="158"/>
      <c r="D19" s="158"/>
      <c r="E19" s="159" t="s">
        <v>15</v>
      </c>
      <c r="F19" s="159" t="s">
        <v>15</v>
      </c>
      <c r="G19" s="159" t="s">
        <v>15</v>
      </c>
      <c r="H19" s="148">
        <f t="shared" si="6"/>
        <v>0</v>
      </c>
      <c r="I19" s="148"/>
      <c r="J19" s="160"/>
      <c r="K19" s="161" t="s">
        <v>0</v>
      </c>
      <c r="L19" s="160"/>
      <c r="M19" s="161" t="s">
        <v>0</v>
      </c>
      <c r="N19" s="160"/>
      <c r="O19" s="161" t="str">
        <f t="shared" si="3"/>
        <v>【No.記載で自動入力】</v>
      </c>
      <c r="P19" s="161" t="s">
        <v>629</v>
      </c>
      <c r="Q19" s="161" t="str">
        <f t="shared" si="4"/>
        <v>【No.記載で自動入力】</v>
      </c>
      <c r="R19" s="161" t="s">
        <v>0</v>
      </c>
      <c r="S19" s="161" t="str">
        <f t="shared" si="5"/>
        <v>【No.記載で自動入力】</v>
      </c>
      <c r="T19" s="160" t="s">
        <v>15</v>
      </c>
      <c r="U19" s="160" t="s">
        <v>15</v>
      </c>
      <c r="V19" s="160" t="s">
        <v>15</v>
      </c>
      <c r="W19" s="162"/>
      <c r="X19" s="162"/>
      <c r="Y19" s="163">
        <f t="shared" si="7"/>
        <v>0</v>
      </c>
      <c r="AA19" s="164" t="s">
        <v>71</v>
      </c>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row>
    <row r="20" spans="1:57" ht="19.5" customHeight="1">
      <c r="A20" s="166"/>
      <c r="B20" s="157" t="str">
        <f t="shared" si="2"/>
        <v>【No.記載で自動入力】</v>
      </c>
      <c r="C20" s="158"/>
      <c r="D20" s="158"/>
      <c r="E20" s="159" t="s">
        <v>15</v>
      </c>
      <c r="F20" s="159" t="s">
        <v>15</v>
      </c>
      <c r="G20" s="159" t="s">
        <v>15</v>
      </c>
      <c r="H20" s="148">
        <f t="shared" si="6"/>
        <v>0</v>
      </c>
      <c r="I20" s="148"/>
      <c r="J20" s="160"/>
      <c r="K20" s="161" t="s">
        <v>0</v>
      </c>
      <c r="L20" s="160"/>
      <c r="M20" s="161" t="s">
        <v>0</v>
      </c>
      <c r="N20" s="160"/>
      <c r="O20" s="161" t="str">
        <f t="shared" si="3"/>
        <v>【No.記載で自動入力】</v>
      </c>
      <c r="P20" s="161" t="s">
        <v>629</v>
      </c>
      <c r="Q20" s="161" t="str">
        <f t="shared" si="4"/>
        <v>【No.記載で自動入力】</v>
      </c>
      <c r="R20" s="161" t="s">
        <v>0</v>
      </c>
      <c r="S20" s="161" t="str">
        <f t="shared" si="5"/>
        <v>【No.記載で自動入力】</v>
      </c>
      <c r="T20" s="160" t="s">
        <v>15</v>
      </c>
      <c r="U20" s="160" t="s">
        <v>15</v>
      </c>
      <c r="V20" s="160" t="s">
        <v>15</v>
      </c>
      <c r="W20" s="162"/>
      <c r="X20" s="162"/>
      <c r="Y20" s="163">
        <f t="shared" si="7"/>
        <v>0</v>
      </c>
      <c r="AA20" s="164" t="s">
        <v>72</v>
      </c>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row>
    <row r="21" spans="1:57" ht="19.5" customHeight="1">
      <c r="A21" s="166"/>
      <c r="B21" s="157" t="str">
        <f t="shared" si="2"/>
        <v>【No.記載で自動入力】</v>
      </c>
      <c r="C21" s="158"/>
      <c r="D21" s="158"/>
      <c r="E21" s="159" t="s">
        <v>15</v>
      </c>
      <c r="F21" s="159" t="s">
        <v>15</v>
      </c>
      <c r="G21" s="159" t="s">
        <v>15</v>
      </c>
      <c r="H21" s="148">
        <f t="shared" si="6"/>
        <v>0</v>
      </c>
      <c r="I21" s="167"/>
      <c r="J21" s="160"/>
      <c r="K21" s="161" t="s">
        <v>0</v>
      </c>
      <c r="L21" s="160"/>
      <c r="M21" s="161" t="s">
        <v>0</v>
      </c>
      <c r="N21" s="160"/>
      <c r="O21" s="161" t="str">
        <f t="shared" si="3"/>
        <v>【No.記載で自動入力】</v>
      </c>
      <c r="P21" s="161" t="s">
        <v>626</v>
      </c>
      <c r="Q21" s="161" t="str">
        <f t="shared" si="4"/>
        <v>【No.記載で自動入力】</v>
      </c>
      <c r="R21" s="161" t="s">
        <v>0</v>
      </c>
      <c r="S21" s="161" t="str">
        <f t="shared" si="5"/>
        <v>【No.記載で自動入力】</v>
      </c>
      <c r="T21" s="160" t="s">
        <v>15</v>
      </c>
      <c r="U21" s="160" t="s">
        <v>15</v>
      </c>
      <c r="V21" s="160" t="s">
        <v>15</v>
      </c>
      <c r="W21" s="162"/>
      <c r="X21" s="162"/>
      <c r="Y21" s="163">
        <f t="shared" si="7"/>
        <v>0</v>
      </c>
      <c r="AA21" s="164" t="s">
        <v>73</v>
      </c>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row>
    <row r="22" spans="1:57" ht="19.5" customHeight="1">
      <c r="A22" s="166"/>
      <c r="B22" s="157" t="str">
        <f t="shared" si="2"/>
        <v>【No.記載で自動入力】</v>
      </c>
      <c r="C22" s="158"/>
      <c r="D22" s="158"/>
      <c r="E22" s="159" t="s">
        <v>15</v>
      </c>
      <c r="F22" s="159" t="s">
        <v>15</v>
      </c>
      <c r="G22" s="159" t="s">
        <v>15</v>
      </c>
      <c r="H22" s="148">
        <f t="shared" si="6"/>
        <v>0</v>
      </c>
      <c r="I22" s="167"/>
      <c r="J22" s="160"/>
      <c r="K22" s="161" t="s">
        <v>0</v>
      </c>
      <c r="L22" s="160"/>
      <c r="M22" s="161" t="s">
        <v>0</v>
      </c>
      <c r="N22" s="160"/>
      <c r="O22" s="161" t="str">
        <f t="shared" si="3"/>
        <v>【No.記載で自動入力】</v>
      </c>
      <c r="P22" s="161" t="s">
        <v>626</v>
      </c>
      <c r="Q22" s="161" t="str">
        <f t="shared" si="4"/>
        <v>【No.記載で自動入力】</v>
      </c>
      <c r="R22" s="161" t="s">
        <v>0</v>
      </c>
      <c r="S22" s="161" t="str">
        <f t="shared" si="5"/>
        <v>【No.記載で自動入力】</v>
      </c>
      <c r="T22" s="160" t="s">
        <v>15</v>
      </c>
      <c r="U22" s="160" t="s">
        <v>15</v>
      </c>
      <c r="V22" s="160" t="s">
        <v>15</v>
      </c>
      <c r="W22" s="162"/>
      <c r="X22" s="162"/>
      <c r="Y22" s="163">
        <f t="shared" si="7"/>
        <v>0</v>
      </c>
      <c r="AA22" s="164" t="s">
        <v>74</v>
      </c>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row>
    <row r="23" spans="1:57" ht="19.5" customHeight="1">
      <c r="A23" s="166"/>
      <c r="B23" s="157" t="str">
        <f t="shared" si="2"/>
        <v>【No.記載で自動入力】</v>
      </c>
      <c r="C23" s="158"/>
      <c r="D23" s="158"/>
      <c r="E23" s="159" t="s">
        <v>15</v>
      </c>
      <c r="F23" s="159" t="s">
        <v>15</v>
      </c>
      <c r="G23" s="159" t="s">
        <v>15</v>
      </c>
      <c r="H23" s="148">
        <f t="shared" si="6"/>
        <v>0</v>
      </c>
      <c r="I23" s="167"/>
      <c r="J23" s="160"/>
      <c r="K23" s="161" t="s">
        <v>0</v>
      </c>
      <c r="L23" s="160"/>
      <c r="M23" s="161" t="s">
        <v>0</v>
      </c>
      <c r="N23" s="160"/>
      <c r="O23" s="161" t="str">
        <f t="shared" si="3"/>
        <v>【No.記載で自動入力】</v>
      </c>
      <c r="P23" s="161" t="s">
        <v>626</v>
      </c>
      <c r="Q23" s="161" t="str">
        <f t="shared" si="4"/>
        <v>【No.記載で自動入力】</v>
      </c>
      <c r="R23" s="161" t="s">
        <v>0</v>
      </c>
      <c r="S23" s="161" t="str">
        <f t="shared" si="5"/>
        <v>【No.記載で自動入力】</v>
      </c>
      <c r="T23" s="160" t="s">
        <v>15</v>
      </c>
      <c r="U23" s="160" t="s">
        <v>15</v>
      </c>
      <c r="V23" s="160" t="s">
        <v>15</v>
      </c>
      <c r="W23" s="162"/>
      <c r="X23" s="162"/>
      <c r="Y23" s="163">
        <f t="shared" si="7"/>
        <v>0</v>
      </c>
      <c r="AA23" s="164" t="s">
        <v>75</v>
      </c>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row>
    <row r="24" spans="1:57" ht="19.5" customHeight="1">
      <c r="A24" s="166"/>
      <c r="B24" s="157" t="str">
        <f t="shared" si="2"/>
        <v>【No.記載で自動入力】</v>
      </c>
      <c r="C24" s="158"/>
      <c r="D24" s="158"/>
      <c r="E24" s="159" t="s">
        <v>15</v>
      </c>
      <c r="F24" s="159" t="s">
        <v>15</v>
      </c>
      <c r="G24" s="159" t="s">
        <v>15</v>
      </c>
      <c r="H24" s="148">
        <f t="shared" si="6"/>
        <v>0</v>
      </c>
      <c r="I24" s="167"/>
      <c r="J24" s="160"/>
      <c r="K24" s="161" t="s">
        <v>0</v>
      </c>
      <c r="L24" s="160"/>
      <c r="M24" s="161" t="s">
        <v>0</v>
      </c>
      <c r="N24" s="160"/>
      <c r="O24" s="161" t="str">
        <f t="shared" si="3"/>
        <v>【No.記載で自動入力】</v>
      </c>
      <c r="P24" s="161" t="s">
        <v>626</v>
      </c>
      <c r="Q24" s="161" t="str">
        <f t="shared" si="4"/>
        <v>【No.記載で自動入力】</v>
      </c>
      <c r="R24" s="161" t="s">
        <v>0</v>
      </c>
      <c r="S24" s="161" t="str">
        <f t="shared" si="5"/>
        <v>【No.記載で自動入力】</v>
      </c>
      <c r="T24" s="160" t="s">
        <v>15</v>
      </c>
      <c r="U24" s="160" t="s">
        <v>15</v>
      </c>
      <c r="V24" s="160" t="s">
        <v>15</v>
      </c>
      <c r="W24" s="162"/>
      <c r="X24" s="162"/>
      <c r="Y24" s="163">
        <f t="shared" si="7"/>
        <v>0</v>
      </c>
      <c r="AA24" s="164" t="s">
        <v>76</v>
      </c>
      <c r="AB24" s="165"/>
      <c r="AC24" s="165"/>
      <c r="AD24" s="165"/>
      <c r="AE24" s="165"/>
      <c r="AF24" s="165"/>
      <c r="AG24" s="165"/>
      <c r="AH24" s="165"/>
      <c r="AI24" s="165"/>
      <c r="AJ24" s="165"/>
      <c r="AK24" s="165"/>
      <c r="AL24" s="165"/>
      <c r="AM24" s="165"/>
      <c r="AN24" s="165"/>
      <c r="AO24" s="165"/>
      <c r="AP24" s="165"/>
      <c r="AQ24" s="165"/>
      <c r="AR24" s="165"/>
      <c r="AS24" s="165"/>
      <c r="AT24" s="165"/>
      <c r="AU24" s="165"/>
      <c r="AV24" s="165"/>
      <c r="AW24" s="165"/>
      <c r="AX24" s="165"/>
      <c r="AY24" s="165"/>
      <c r="AZ24" s="165"/>
      <c r="BA24" s="165"/>
      <c r="BB24" s="165"/>
      <c r="BC24" s="165"/>
      <c r="BD24" s="165"/>
      <c r="BE24" s="165"/>
    </row>
    <row r="25" spans="1:57" ht="19.5" customHeight="1">
      <c r="A25" s="166"/>
      <c r="B25" s="157" t="str">
        <f t="shared" si="2"/>
        <v>【No.記載で自動入力】</v>
      </c>
      <c r="C25" s="158"/>
      <c r="D25" s="158"/>
      <c r="E25" s="159" t="s">
        <v>15</v>
      </c>
      <c r="F25" s="159" t="s">
        <v>15</v>
      </c>
      <c r="G25" s="159" t="s">
        <v>15</v>
      </c>
      <c r="H25" s="148">
        <f t="shared" si="6"/>
        <v>0</v>
      </c>
      <c r="I25" s="167"/>
      <c r="J25" s="160"/>
      <c r="K25" s="161" t="s">
        <v>0</v>
      </c>
      <c r="L25" s="160"/>
      <c r="M25" s="161" t="s">
        <v>0</v>
      </c>
      <c r="N25" s="160"/>
      <c r="O25" s="161" t="str">
        <f t="shared" si="3"/>
        <v>【No.記載で自動入力】</v>
      </c>
      <c r="P25" s="161" t="s">
        <v>626</v>
      </c>
      <c r="Q25" s="161" t="str">
        <f t="shared" si="4"/>
        <v>【No.記載で自動入力】</v>
      </c>
      <c r="R25" s="161" t="s">
        <v>0</v>
      </c>
      <c r="S25" s="161" t="str">
        <f t="shared" si="5"/>
        <v>【No.記載で自動入力】</v>
      </c>
      <c r="T25" s="160" t="s">
        <v>15</v>
      </c>
      <c r="U25" s="160" t="s">
        <v>15</v>
      </c>
      <c r="V25" s="160" t="s">
        <v>15</v>
      </c>
      <c r="W25" s="162"/>
      <c r="X25" s="162"/>
      <c r="Y25" s="163">
        <f t="shared" si="7"/>
        <v>0</v>
      </c>
      <c r="AA25" s="164" t="s">
        <v>77</v>
      </c>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row>
    <row r="26" spans="1:57" ht="19.5" customHeight="1">
      <c r="A26" s="166"/>
      <c r="B26" s="157" t="str">
        <f t="shared" si="2"/>
        <v>【No.記載で自動入力】</v>
      </c>
      <c r="C26" s="158"/>
      <c r="D26" s="158"/>
      <c r="E26" s="159" t="s">
        <v>15</v>
      </c>
      <c r="F26" s="159" t="s">
        <v>15</v>
      </c>
      <c r="G26" s="159" t="s">
        <v>15</v>
      </c>
      <c r="H26" s="148">
        <f t="shared" si="6"/>
        <v>0</v>
      </c>
      <c r="I26" s="167"/>
      <c r="J26" s="160"/>
      <c r="K26" s="161" t="s">
        <v>0</v>
      </c>
      <c r="L26" s="160"/>
      <c r="M26" s="161" t="s">
        <v>0</v>
      </c>
      <c r="N26" s="160"/>
      <c r="O26" s="161" t="str">
        <f t="shared" si="3"/>
        <v>【No.記載で自動入力】</v>
      </c>
      <c r="P26" s="161" t="s">
        <v>629</v>
      </c>
      <c r="Q26" s="161" t="str">
        <f t="shared" si="4"/>
        <v>【No.記載で自動入力】</v>
      </c>
      <c r="R26" s="161" t="s">
        <v>0</v>
      </c>
      <c r="S26" s="161" t="str">
        <f t="shared" si="5"/>
        <v>【No.記載で自動入力】</v>
      </c>
      <c r="T26" s="160" t="s">
        <v>15</v>
      </c>
      <c r="U26" s="160" t="s">
        <v>15</v>
      </c>
      <c r="V26" s="160" t="s">
        <v>15</v>
      </c>
      <c r="W26" s="162"/>
      <c r="X26" s="162"/>
      <c r="Y26" s="163">
        <f t="shared" si="7"/>
        <v>0</v>
      </c>
      <c r="AA26" s="164" t="s">
        <v>78</v>
      </c>
      <c r="AB26" s="165"/>
      <c r="AC26" s="165"/>
      <c r="AD26" s="165"/>
      <c r="AE26" s="165"/>
      <c r="AF26" s="165"/>
      <c r="AG26" s="165"/>
      <c r="AH26" s="165"/>
      <c r="AI26" s="165"/>
      <c r="AJ26" s="165"/>
      <c r="AK26" s="165"/>
      <c r="AL26" s="165"/>
      <c r="AM26" s="165"/>
      <c r="AN26" s="165"/>
      <c r="AO26" s="165"/>
      <c r="AP26" s="165"/>
      <c r="AQ26" s="165"/>
      <c r="AR26" s="165"/>
      <c r="AS26" s="165"/>
      <c r="AT26" s="165"/>
      <c r="AU26" s="165"/>
      <c r="AV26" s="165"/>
      <c r="AW26" s="165"/>
      <c r="AX26" s="165"/>
      <c r="AY26" s="165"/>
      <c r="AZ26" s="165"/>
      <c r="BA26" s="165"/>
      <c r="BB26" s="165"/>
      <c r="BC26" s="165"/>
      <c r="BD26" s="165"/>
      <c r="BE26" s="165"/>
    </row>
    <row r="27" spans="1:57" ht="19.5" customHeight="1">
      <c r="A27" s="166"/>
      <c r="B27" s="157" t="str">
        <f t="shared" si="2"/>
        <v>【No.記載で自動入力】</v>
      </c>
      <c r="C27" s="158"/>
      <c r="D27" s="158"/>
      <c r="E27" s="159" t="s">
        <v>15</v>
      </c>
      <c r="F27" s="159" t="s">
        <v>15</v>
      </c>
      <c r="G27" s="159" t="s">
        <v>15</v>
      </c>
      <c r="H27" s="148">
        <f t="shared" si="6"/>
        <v>0</v>
      </c>
      <c r="I27" s="167"/>
      <c r="J27" s="160"/>
      <c r="K27" s="161" t="s">
        <v>0</v>
      </c>
      <c r="L27" s="160"/>
      <c r="M27" s="161" t="s">
        <v>0</v>
      </c>
      <c r="N27" s="160"/>
      <c r="O27" s="161" t="str">
        <f t="shared" si="3"/>
        <v>【No.記載で自動入力】</v>
      </c>
      <c r="P27" s="161" t="s">
        <v>626</v>
      </c>
      <c r="Q27" s="161" t="str">
        <f t="shared" si="4"/>
        <v>【No.記載で自動入力】</v>
      </c>
      <c r="R27" s="161" t="s">
        <v>0</v>
      </c>
      <c r="S27" s="161" t="str">
        <f t="shared" si="5"/>
        <v>【No.記載で自動入力】</v>
      </c>
      <c r="T27" s="160" t="s">
        <v>15</v>
      </c>
      <c r="U27" s="160" t="s">
        <v>15</v>
      </c>
      <c r="V27" s="160" t="s">
        <v>15</v>
      </c>
      <c r="W27" s="162"/>
      <c r="X27" s="162"/>
      <c r="Y27" s="163">
        <f t="shared" si="7"/>
        <v>0</v>
      </c>
      <c r="AA27" s="164" t="s">
        <v>79</v>
      </c>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row>
    <row r="28" spans="1:57" ht="19.5" customHeight="1">
      <c r="A28" s="166"/>
      <c r="B28" s="157" t="str">
        <f t="shared" si="2"/>
        <v>【No.記載で自動入力】</v>
      </c>
      <c r="C28" s="158"/>
      <c r="D28" s="158"/>
      <c r="E28" s="159" t="s">
        <v>15</v>
      </c>
      <c r="F28" s="159" t="s">
        <v>15</v>
      </c>
      <c r="G28" s="159" t="s">
        <v>15</v>
      </c>
      <c r="H28" s="148">
        <f t="shared" si="6"/>
        <v>0</v>
      </c>
      <c r="I28" s="167"/>
      <c r="J28" s="160"/>
      <c r="K28" s="161" t="s">
        <v>0</v>
      </c>
      <c r="L28" s="160"/>
      <c r="M28" s="161" t="s">
        <v>0</v>
      </c>
      <c r="N28" s="160"/>
      <c r="O28" s="161" t="str">
        <f t="shared" si="3"/>
        <v>【No.記載で自動入力】</v>
      </c>
      <c r="P28" s="161" t="s">
        <v>629</v>
      </c>
      <c r="Q28" s="161" t="str">
        <f t="shared" si="4"/>
        <v>【No.記載で自動入力】</v>
      </c>
      <c r="R28" s="161" t="s">
        <v>0</v>
      </c>
      <c r="S28" s="161" t="str">
        <f t="shared" si="5"/>
        <v>【No.記載で自動入力】</v>
      </c>
      <c r="T28" s="160" t="s">
        <v>15</v>
      </c>
      <c r="U28" s="160" t="s">
        <v>15</v>
      </c>
      <c r="V28" s="160" t="s">
        <v>15</v>
      </c>
      <c r="W28" s="162"/>
      <c r="X28" s="162"/>
      <c r="Y28" s="163">
        <f t="shared" si="7"/>
        <v>0</v>
      </c>
      <c r="AA28" s="164" t="s">
        <v>80</v>
      </c>
      <c r="AB28" s="165"/>
      <c r="AC28" s="165"/>
      <c r="AD28" s="165"/>
      <c r="AE28" s="165"/>
      <c r="AF28" s="165"/>
      <c r="AG28" s="165"/>
      <c r="AH28" s="165"/>
      <c r="AI28" s="165"/>
      <c r="AJ28" s="165"/>
      <c r="AK28" s="165"/>
      <c r="AL28" s="165"/>
      <c r="AM28" s="165"/>
      <c r="AN28" s="165"/>
      <c r="AO28" s="165"/>
      <c r="AP28" s="165"/>
      <c r="AQ28" s="165"/>
      <c r="AR28" s="165"/>
      <c r="AS28" s="165"/>
      <c r="AT28" s="165"/>
      <c r="AU28" s="165"/>
      <c r="AV28" s="165"/>
      <c r="AW28" s="165"/>
      <c r="AX28" s="165"/>
      <c r="AY28" s="165"/>
      <c r="AZ28" s="165"/>
      <c r="BA28" s="165"/>
      <c r="BB28" s="165"/>
      <c r="BC28" s="165"/>
      <c r="BD28" s="165"/>
      <c r="BE28" s="165"/>
    </row>
    <row r="29" spans="1:57" ht="19.5" customHeight="1">
      <c r="A29" s="166"/>
      <c r="B29" s="157" t="str">
        <f t="shared" si="2"/>
        <v>【No.記載で自動入力】</v>
      </c>
      <c r="C29" s="158"/>
      <c r="D29" s="158"/>
      <c r="E29" s="159" t="s">
        <v>15</v>
      </c>
      <c r="F29" s="159" t="s">
        <v>15</v>
      </c>
      <c r="G29" s="159" t="s">
        <v>15</v>
      </c>
      <c r="H29" s="148">
        <f t="shared" si="6"/>
        <v>0</v>
      </c>
      <c r="I29" s="167"/>
      <c r="J29" s="160"/>
      <c r="K29" s="161" t="s">
        <v>0</v>
      </c>
      <c r="L29" s="160"/>
      <c r="M29" s="161" t="s">
        <v>0</v>
      </c>
      <c r="N29" s="160"/>
      <c r="O29" s="161" t="str">
        <f t="shared" si="3"/>
        <v>【No.記載で自動入力】</v>
      </c>
      <c r="P29" s="161" t="s">
        <v>629</v>
      </c>
      <c r="Q29" s="161" t="str">
        <f t="shared" si="4"/>
        <v>【No.記載で自動入力】</v>
      </c>
      <c r="R29" s="161" t="s">
        <v>0</v>
      </c>
      <c r="S29" s="161" t="str">
        <f t="shared" si="5"/>
        <v>【No.記載で自動入力】</v>
      </c>
      <c r="T29" s="160" t="s">
        <v>15</v>
      </c>
      <c r="U29" s="160" t="s">
        <v>15</v>
      </c>
      <c r="V29" s="160" t="s">
        <v>15</v>
      </c>
      <c r="W29" s="162"/>
      <c r="X29" s="162"/>
      <c r="Y29" s="163">
        <f t="shared" si="7"/>
        <v>0</v>
      </c>
      <c r="AA29" s="164" t="s">
        <v>98</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row>
    <row r="30" spans="1:57" ht="19.5" customHeight="1">
      <c r="A30" s="166"/>
      <c r="B30" s="157" t="str">
        <f t="shared" si="2"/>
        <v>【No.記載で自動入力】</v>
      </c>
      <c r="C30" s="158"/>
      <c r="D30" s="158"/>
      <c r="E30" s="159" t="s">
        <v>15</v>
      </c>
      <c r="F30" s="159" t="s">
        <v>15</v>
      </c>
      <c r="G30" s="159" t="s">
        <v>15</v>
      </c>
      <c r="H30" s="148">
        <f t="shared" si="6"/>
        <v>0</v>
      </c>
      <c r="I30" s="167"/>
      <c r="J30" s="160"/>
      <c r="K30" s="161" t="s">
        <v>0</v>
      </c>
      <c r="L30" s="160"/>
      <c r="M30" s="161" t="s">
        <v>0</v>
      </c>
      <c r="N30" s="160"/>
      <c r="O30" s="161" t="str">
        <f t="shared" si="3"/>
        <v>【No.記載で自動入力】</v>
      </c>
      <c r="P30" s="161" t="s">
        <v>630</v>
      </c>
      <c r="Q30" s="161" t="str">
        <f t="shared" si="4"/>
        <v>【No.記載で自動入力】</v>
      </c>
      <c r="R30" s="161" t="s">
        <v>0</v>
      </c>
      <c r="S30" s="161" t="str">
        <f t="shared" si="5"/>
        <v>【No.記載で自動入力】</v>
      </c>
      <c r="T30" s="160" t="s">
        <v>15</v>
      </c>
      <c r="U30" s="160" t="s">
        <v>15</v>
      </c>
      <c r="V30" s="160" t="s">
        <v>15</v>
      </c>
      <c r="W30" s="162"/>
      <c r="X30" s="162"/>
      <c r="Y30" s="163">
        <f t="shared" si="7"/>
        <v>0</v>
      </c>
      <c r="AA30" s="164" t="s">
        <v>99</v>
      </c>
      <c r="AB30" s="165"/>
      <c r="AC30" s="165"/>
      <c r="AD30" s="165"/>
      <c r="AE30" s="165"/>
      <c r="AF30" s="165"/>
      <c r="AG30" s="165"/>
      <c r="AH30" s="165"/>
      <c r="AI30" s="165"/>
      <c r="AJ30" s="165"/>
      <c r="AK30" s="165"/>
      <c r="AL30" s="165"/>
      <c r="AM30" s="165"/>
      <c r="AN30" s="165"/>
      <c r="AO30" s="165"/>
      <c r="AP30" s="165"/>
      <c r="AQ30" s="165"/>
      <c r="AR30" s="165"/>
      <c r="AS30" s="165"/>
      <c r="AT30" s="165"/>
      <c r="AU30" s="165"/>
      <c r="AV30" s="165"/>
      <c r="AW30" s="165"/>
      <c r="AX30" s="165"/>
      <c r="AY30" s="165"/>
      <c r="AZ30" s="165"/>
      <c r="BA30" s="165"/>
      <c r="BB30" s="165"/>
      <c r="BC30" s="165"/>
      <c r="BD30" s="165"/>
      <c r="BE30" s="165"/>
    </row>
    <row r="31" spans="1:57" ht="19.5" customHeight="1">
      <c r="A31" s="166"/>
      <c r="B31" s="157" t="str">
        <f t="shared" si="2"/>
        <v>【No.記載で自動入力】</v>
      </c>
      <c r="C31" s="158"/>
      <c r="D31" s="158"/>
      <c r="E31" s="159" t="s">
        <v>15</v>
      </c>
      <c r="F31" s="159" t="s">
        <v>15</v>
      </c>
      <c r="G31" s="159" t="s">
        <v>15</v>
      </c>
      <c r="H31" s="148">
        <f t="shared" si="6"/>
        <v>0</v>
      </c>
      <c r="I31" s="167"/>
      <c r="J31" s="160"/>
      <c r="K31" s="161" t="s">
        <v>0</v>
      </c>
      <c r="L31" s="160"/>
      <c r="M31" s="161" t="s">
        <v>0</v>
      </c>
      <c r="N31" s="160"/>
      <c r="O31" s="161" t="str">
        <f t="shared" si="3"/>
        <v>【No.記載で自動入力】</v>
      </c>
      <c r="P31" s="161" t="s">
        <v>630</v>
      </c>
      <c r="Q31" s="161" t="str">
        <f t="shared" si="4"/>
        <v>【No.記載で自動入力】</v>
      </c>
      <c r="R31" s="161" t="s">
        <v>0</v>
      </c>
      <c r="S31" s="161" t="str">
        <f t="shared" si="5"/>
        <v>【No.記載で自動入力】</v>
      </c>
      <c r="T31" s="160" t="s">
        <v>15</v>
      </c>
      <c r="U31" s="160" t="s">
        <v>15</v>
      </c>
      <c r="V31" s="160" t="s">
        <v>15</v>
      </c>
      <c r="W31" s="162"/>
      <c r="X31" s="162"/>
      <c r="Y31" s="163">
        <f t="shared" si="7"/>
        <v>0</v>
      </c>
      <c r="AA31" s="164" t="s">
        <v>100</v>
      </c>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row>
    <row r="32" spans="1:57" ht="19.5" customHeight="1">
      <c r="A32" s="166"/>
      <c r="B32" s="157" t="str">
        <f t="shared" si="2"/>
        <v>【No.記載で自動入力】</v>
      </c>
      <c r="C32" s="158"/>
      <c r="D32" s="158"/>
      <c r="E32" s="159" t="s">
        <v>15</v>
      </c>
      <c r="F32" s="159" t="s">
        <v>15</v>
      </c>
      <c r="G32" s="159" t="s">
        <v>15</v>
      </c>
      <c r="H32" s="148">
        <f t="shared" si="6"/>
        <v>0</v>
      </c>
      <c r="I32" s="167"/>
      <c r="J32" s="160"/>
      <c r="K32" s="161" t="s">
        <v>0</v>
      </c>
      <c r="L32" s="160"/>
      <c r="M32" s="161" t="s">
        <v>0</v>
      </c>
      <c r="N32" s="160"/>
      <c r="O32" s="161" t="str">
        <f t="shared" si="3"/>
        <v>【No.記載で自動入力】</v>
      </c>
      <c r="P32" s="161" t="s">
        <v>626</v>
      </c>
      <c r="Q32" s="161" t="str">
        <f t="shared" si="4"/>
        <v>【No.記載で自動入力】</v>
      </c>
      <c r="R32" s="161" t="s">
        <v>0</v>
      </c>
      <c r="S32" s="161" t="str">
        <f t="shared" si="5"/>
        <v>【No.記載で自動入力】</v>
      </c>
      <c r="T32" s="160" t="s">
        <v>15</v>
      </c>
      <c r="U32" s="160" t="s">
        <v>15</v>
      </c>
      <c r="V32" s="160" t="s">
        <v>15</v>
      </c>
      <c r="W32" s="162"/>
      <c r="X32" s="162"/>
      <c r="Y32" s="163">
        <f t="shared" si="7"/>
        <v>0</v>
      </c>
      <c r="AA32" s="164" t="s">
        <v>101</v>
      </c>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row>
    <row r="33" spans="1:57" ht="19.5" customHeight="1">
      <c r="A33" s="166"/>
      <c r="B33" s="157" t="str">
        <f t="shared" si="2"/>
        <v>【No.記載で自動入力】</v>
      </c>
      <c r="C33" s="158"/>
      <c r="D33" s="158"/>
      <c r="E33" s="159" t="s">
        <v>15</v>
      </c>
      <c r="F33" s="159" t="s">
        <v>15</v>
      </c>
      <c r="G33" s="159" t="s">
        <v>15</v>
      </c>
      <c r="H33" s="148">
        <f t="shared" si="6"/>
        <v>0</v>
      </c>
      <c r="I33" s="167"/>
      <c r="J33" s="160"/>
      <c r="K33" s="161" t="s">
        <v>0</v>
      </c>
      <c r="L33" s="160"/>
      <c r="M33" s="161" t="s">
        <v>0</v>
      </c>
      <c r="N33" s="160"/>
      <c r="O33" s="161" t="str">
        <f t="shared" si="3"/>
        <v>【No.記載で自動入力】</v>
      </c>
      <c r="P33" s="161" t="s">
        <v>626</v>
      </c>
      <c r="Q33" s="161" t="str">
        <f t="shared" si="4"/>
        <v>【No.記載で自動入力】</v>
      </c>
      <c r="R33" s="161" t="s">
        <v>0</v>
      </c>
      <c r="S33" s="161" t="str">
        <f t="shared" si="5"/>
        <v>【No.記載で自動入力】</v>
      </c>
      <c r="T33" s="160" t="s">
        <v>15</v>
      </c>
      <c r="U33" s="160" t="s">
        <v>15</v>
      </c>
      <c r="V33" s="160" t="s">
        <v>15</v>
      </c>
      <c r="W33" s="162"/>
      <c r="X33" s="162"/>
      <c r="Y33" s="163">
        <f t="shared" si="7"/>
        <v>0</v>
      </c>
      <c r="AA33" s="164" t="s">
        <v>102</v>
      </c>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row>
    <row r="34" spans="1:57" ht="19.5" customHeight="1">
      <c r="A34" s="166"/>
      <c r="B34" s="157" t="str">
        <f t="shared" si="2"/>
        <v>【No.記載で自動入力】</v>
      </c>
      <c r="C34" s="158"/>
      <c r="D34" s="158"/>
      <c r="E34" s="159" t="s">
        <v>15</v>
      </c>
      <c r="F34" s="159" t="s">
        <v>15</v>
      </c>
      <c r="G34" s="159" t="s">
        <v>15</v>
      </c>
      <c r="H34" s="148">
        <f t="shared" si="6"/>
        <v>0</v>
      </c>
      <c r="I34" s="167"/>
      <c r="J34" s="160"/>
      <c r="K34" s="161" t="s">
        <v>0</v>
      </c>
      <c r="L34" s="160"/>
      <c r="M34" s="161" t="s">
        <v>0</v>
      </c>
      <c r="N34" s="160"/>
      <c r="O34" s="161" t="str">
        <f t="shared" si="3"/>
        <v>【No.記載で自動入力】</v>
      </c>
      <c r="P34" s="161" t="s">
        <v>629</v>
      </c>
      <c r="Q34" s="161" t="str">
        <f t="shared" si="4"/>
        <v>【No.記載で自動入力】</v>
      </c>
      <c r="R34" s="161" t="s">
        <v>0</v>
      </c>
      <c r="S34" s="161" t="str">
        <f t="shared" si="5"/>
        <v>【No.記載で自動入力】</v>
      </c>
      <c r="T34" s="160" t="s">
        <v>15</v>
      </c>
      <c r="U34" s="160" t="s">
        <v>15</v>
      </c>
      <c r="V34" s="160" t="s">
        <v>15</v>
      </c>
      <c r="W34" s="162"/>
      <c r="X34" s="162"/>
      <c r="Y34" s="163">
        <f t="shared" si="7"/>
        <v>0</v>
      </c>
      <c r="AA34" s="164" t="s">
        <v>103</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row>
    <row r="35" spans="1:57" ht="19.5" customHeight="1">
      <c r="A35" s="166"/>
      <c r="B35" s="157" t="str">
        <f t="shared" si="2"/>
        <v>【No.記載で自動入力】</v>
      </c>
      <c r="C35" s="158"/>
      <c r="D35" s="158"/>
      <c r="E35" s="159" t="s">
        <v>15</v>
      </c>
      <c r="F35" s="159" t="s">
        <v>15</v>
      </c>
      <c r="G35" s="159" t="s">
        <v>15</v>
      </c>
      <c r="H35" s="148">
        <f t="shared" si="6"/>
        <v>0</v>
      </c>
      <c r="I35" s="167"/>
      <c r="J35" s="160"/>
      <c r="K35" s="161" t="s">
        <v>0</v>
      </c>
      <c r="L35" s="160"/>
      <c r="M35" s="161" t="s">
        <v>0</v>
      </c>
      <c r="N35" s="160"/>
      <c r="O35" s="161" t="str">
        <f t="shared" si="3"/>
        <v>【No.記載で自動入力】</v>
      </c>
      <c r="P35" s="161" t="s">
        <v>626</v>
      </c>
      <c r="Q35" s="161" t="str">
        <f t="shared" si="4"/>
        <v>【No.記載で自動入力】</v>
      </c>
      <c r="R35" s="161" t="s">
        <v>0</v>
      </c>
      <c r="S35" s="161" t="str">
        <f t="shared" si="5"/>
        <v>【No.記載で自動入力】</v>
      </c>
      <c r="T35" s="160" t="s">
        <v>15</v>
      </c>
      <c r="U35" s="160" t="s">
        <v>15</v>
      </c>
      <c r="V35" s="160" t="s">
        <v>15</v>
      </c>
      <c r="W35" s="162"/>
      <c r="X35" s="162"/>
      <c r="Y35" s="163">
        <f t="shared" si="7"/>
        <v>0</v>
      </c>
      <c r="AA35" s="164" t="s">
        <v>104</v>
      </c>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row>
    <row r="36" spans="1:57" ht="19.5" customHeight="1">
      <c r="A36" s="166"/>
      <c r="B36" s="157" t="str">
        <f t="shared" si="2"/>
        <v>【No.記載で自動入力】</v>
      </c>
      <c r="C36" s="158"/>
      <c r="D36" s="158"/>
      <c r="E36" s="159" t="s">
        <v>15</v>
      </c>
      <c r="F36" s="159" t="s">
        <v>15</v>
      </c>
      <c r="G36" s="159" t="s">
        <v>15</v>
      </c>
      <c r="H36" s="148">
        <f t="shared" si="6"/>
        <v>0</v>
      </c>
      <c r="I36" s="167"/>
      <c r="J36" s="160"/>
      <c r="K36" s="161" t="s">
        <v>0</v>
      </c>
      <c r="L36" s="160"/>
      <c r="M36" s="161" t="s">
        <v>0</v>
      </c>
      <c r="N36" s="160"/>
      <c r="O36" s="161" t="str">
        <f t="shared" si="3"/>
        <v>【No.記載で自動入力】</v>
      </c>
      <c r="P36" s="161" t="s">
        <v>626</v>
      </c>
      <c r="Q36" s="161" t="str">
        <f t="shared" si="4"/>
        <v>【No.記載で自動入力】</v>
      </c>
      <c r="R36" s="161" t="s">
        <v>0</v>
      </c>
      <c r="S36" s="161" t="str">
        <f t="shared" si="5"/>
        <v>【No.記載で自動入力】</v>
      </c>
      <c r="T36" s="160" t="s">
        <v>15</v>
      </c>
      <c r="U36" s="160" t="s">
        <v>15</v>
      </c>
      <c r="V36" s="160" t="s">
        <v>15</v>
      </c>
      <c r="W36" s="162"/>
      <c r="X36" s="162"/>
      <c r="Y36" s="163">
        <f t="shared" si="7"/>
        <v>0</v>
      </c>
      <c r="AA36" s="164" t="s">
        <v>105</v>
      </c>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row>
    <row r="37" spans="1:57" ht="19.5" customHeight="1">
      <c r="A37" s="166"/>
      <c r="B37" s="157" t="str">
        <f t="shared" si="2"/>
        <v>【No.記載で自動入力】</v>
      </c>
      <c r="C37" s="158"/>
      <c r="D37" s="158"/>
      <c r="E37" s="159" t="s">
        <v>15</v>
      </c>
      <c r="F37" s="159" t="s">
        <v>15</v>
      </c>
      <c r="G37" s="159" t="s">
        <v>15</v>
      </c>
      <c r="H37" s="148">
        <f t="shared" si="6"/>
        <v>0</v>
      </c>
      <c r="I37" s="167"/>
      <c r="J37" s="160"/>
      <c r="K37" s="161" t="s">
        <v>0</v>
      </c>
      <c r="L37" s="160"/>
      <c r="M37" s="161" t="s">
        <v>0</v>
      </c>
      <c r="N37" s="160"/>
      <c r="O37" s="161" t="str">
        <f t="shared" si="3"/>
        <v>【No.記載で自動入力】</v>
      </c>
      <c r="P37" s="161" t="s">
        <v>630</v>
      </c>
      <c r="Q37" s="161" t="str">
        <f t="shared" si="4"/>
        <v>【No.記載で自動入力】</v>
      </c>
      <c r="R37" s="161" t="s">
        <v>0</v>
      </c>
      <c r="S37" s="161" t="str">
        <f t="shared" si="5"/>
        <v>【No.記載で自動入力】</v>
      </c>
      <c r="T37" s="160" t="s">
        <v>15</v>
      </c>
      <c r="U37" s="160" t="s">
        <v>15</v>
      </c>
      <c r="V37" s="160" t="s">
        <v>15</v>
      </c>
      <c r="W37" s="162"/>
      <c r="X37" s="162"/>
      <c r="Y37" s="163">
        <f t="shared" si="7"/>
        <v>0</v>
      </c>
      <c r="AA37" s="164" t="s">
        <v>106</v>
      </c>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row>
    <row r="38" spans="1:57" ht="19.5" customHeight="1">
      <c r="A38" s="166"/>
      <c r="B38" s="157" t="str">
        <f t="shared" si="2"/>
        <v>【No.記載で自動入力】</v>
      </c>
      <c r="C38" s="158"/>
      <c r="D38" s="158"/>
      <c r="E38" s="159" t="s">
        <v>15</v>
      </c>
      <c r="F38" s="159" t="s">
        <v>15</v>
      </c>
      <c r="G38" s="159" t="s">
        <v>15</v>
      </c>
      <c r="H38" s="148">
        <f t="shared" si="6"/>
        <v>0</v>
      </c>
      <c r="I38" s="167"/>
      <c r="J38" s="160"/>
      <c r="K38" s="161" t="s">
        <v>0</v>
      </c>
      <c r="L38" s="160"/>
      <c r="M38" s="161" t="s">
        <v>0</v>
      </c>
      <c r="N38" s="160"/>
      <c r="O38" s="161" t="str">
        <f t="shared" si="3"/>
        <v>【No.記載で自動入力】</v>
      </c>
      <c r="P38" s="161" t="s">
        <v>629</v>
      </c>
      <c r="Q38" s="161" t="str">
        <f t="shared" si="4"/>
        <v>【No.記載で自動入力】</v>
      </c>
      <c r="R38" s="161" t="s">
        <v>0</v>
      </c>
      <c r="S38" s="161" t="str">
        <f t="shared" si="5"/>
        <v>【No.記載で自動入力】</v>
      </c>
      <c r="T38" s="160" t="s">
        <v>15</v>
      </c>
      <c r="U38" s="160" t="s">
        <v>15</v>
      </c>
      <c r="V38" s="160" t="s">
        <v>15</v>
      </c>
      <c r="W38" s="162"/>
      <c r="X38" s="162"/>
      <c r="Y38" s="163">
        <f t="shared" si="7"/>
        <v>0</v>
      </c>
      <c r="AA38" s="164" t="s">
        <v>107</v>
      </c>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row>
    <row r="39" spans="1:57" ht="19.5" customHeight="1">
      <c r="A39" s="166"/>
      <c r="B39" s="157" t="str">
        <f t="shared" si="2"/>
        <v>【No.記載で自動入力】</v>
      </c>
      <c r="C39" s="158"/>
      <c r="D39" s="158"/>
      <c r="E39" s="159" t="s">
        <v>15</v>
      </c>
      <c r="F39" s="159" t="s">
        <v>15</v>
      </c>
      <c r="G39" s="159" t="s">
        <v>15</v>
      </c>
      <c r="H39" s="148">
        <f t="shared" si="6"/>
        <v>0</v>
      </c>
      <c r="I39" s="167"/>
      <c r="J39" s="160"/>
      <c r="K39" s="161" t="s">
        <v>0</v>
      </c>
      <c r="L39" s="160"/>
      <c r="M39" s="161" t="s">
        <v>0</v>
      </c>
      <c r="N39" s="160"/>
      <c r="O39" s="161" t="str">
        <f t="shared" si="3"/>
        <v>【No.記載で自動入力】</v>
      </c>
      <c r="P39" s="161" t="s">
        <v>626</v>
      </c>
      <c r="Q39" s="161" t="str">
        <f t="shared" si="4"/>
        <v>【No.記載で自動入力】</v>
      </c>
      <c r="R39" s="161" t="s">
        <v>0</v>
      </c>
      <c r="S39" s="161" t="str">
        <f t="shared" si="5"/>
        <v>【No.記載で自動入力】</v>
      </c>
      <c r="T39" s="160" t="s">
        <v>15</v>
      </c>
      <c r="U39" s="160" t="s">
        <v>15</v>
      </c>
      <c r="V39" s="160" t="s">
        <v>15</v>
      </c>
      <c r="W39" s="162"/>
      <c r="X39" s="162"/>
      <c r="Y39" s="163">
        <f t="shared" si="7"/>
        <v>0</v>
      </c>
      <c r="AA39" s="164" t="s">
        <v>108</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row>
    <row r="40" spans="1:57" ht="19.5" customHeight="1">
      <c r="A40" s="166"/>
      <c r="B40" s="157" t="str">
        <f t="shared" si="2"/>
        <v>【No.記載で自動入力】</v>
      </c>
      <c r="C40" s="158"/>
      <c r="D40" s="158"/>
      <c r="E40" s="159" t="s">
        <v>15</v>
      </c>
      <c r="F40" s="159" t="s">
        <v>15</v>
      </c>
      <c r="G40" s="159" t="s">
        <v>15</v>
      </c>
      <c r="H40" s="148">
        <f t="shared" si="6"/>
        <v>0</v>
      </c>
      <c r="I40" s="167"/>
      <c r="J40" s="160"/>
      <c r="K40" s="161" t="s">
        <v>0</v>
      </c>
      <c r="L40" s="160"/>
      <c r="M40" s="161" t="s">
        <v>0</v>
      </c>
      <c r="N40" s="160"/>
      <c r="O40" s="161" t="str">
        <f t="shared" si="3"/>
        <v>【No.記載で自動入力】</v>
      </c>
      <c r="P40" s="161" t="s">
        <v>626</v>
      </c>
      <c r="Q40" s="161" t="str">
        <f t="shared" si="4"/>
        <v>【No.記載で自動入力】</v>
      </c>
      <c r="R40" s="161" t="s">
        <v>0</v>
      </c>
      <c r="S40" s="161" t="str">
        <f t="shared" si="5"/>
        <v>【No.記載で自動入力】</v>
      </c>
      <c r="T40" s="160" t="s">
        <v>15</v>
      </c>
      <c r="U40" s="160" t="s">
        <v>15</v>
      </c>
      <c r="V40" s="160" t="s">
        <v>15</v>
      </c>
      <c r="W40" s="162"/>
      <c r="X40" s="162"/>
      <c r="Y40" s="163">
        <f t="shared" si="7"/>
        <v>0</v>
      </c>
      <c r="AA40" s="164" t="s">
        <v>109</v>
      </c>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row>
    <row r="41" spans="1:57" ht="19.5" customHeight="1">
      <c r="A41" s="166"/>
      <c r="B41" s="157" t="str">
        <f t="shared" ref="B41:B72" si="8">IFERROR(IF(HLOOKUP(A41,$7:$8,MATCH("キーワードNo.／カテゴリ名",$AA$7:$AA$8,0),FALSE)="","",HLOOKUP(A41,$7:$8,MATCH("キーワードNo.／カテゴリ名",$AA$7:$AA$8,0),FALSE)),"【No.記載で自動入力】")</f>
        <v>【No.記載で自動入力】</v>
      </c>
      <c r="C41" s="158"/>
      <c r="D41" s="158"/>
      <c r="E41" s="159" t="s">
        <v>15</v>
      </c>
      <c r="F41" s="159" t="s">
        <v>15</v>
      </c>
      <c r="G41" s="159" t="s">
        <v>15</v>
      </c>
      <c r="H41" s="148">
        <f t="shared" si="6"/>
        <v>0</v>
      </c>
      <c r="I41" s="167"/>
      <c r="J41" s="160"/>
      <c r="K41" s="161" t="s">
        <v>0</v>
      </c>
      <c r="L41" s="160"/>
      <c r="M41" s="161" t="s">
        <v>0</v>
      </c>
      <c r="N41" s="160"/>
      <c r="O41" s="161" t="str">
        <f t="shared" ref="O41:O72" si="9">IFERROR(IF(HLOOKUP(J41,$7:$8,MATCH("キーワードNo.／カテゴリ名",$AA$7:$AA$8,0),FALSE)="","",HLOOKUP(J41,$7:$8,MATCH("キーワードNo.／カテゴリ名",$AA$7:$AA$8,0),FALSE)),"【No.記載で自動入力】")</f>
        <v>【No.記載で自動入力】</v>
      </c>
      <c r="P41" s="161" t="s">
        <v>630</v>
      </c>
      <c r="Q41" s="161" t="str">
        <f t="shared" ref="Q41:Q72" si="10">IFERROR(IF(HLOOKUP(L41,$7:$8,MATCH("キーワードNo.／カテゴリ名",$AA$7:$AA$8,0),FALSE)="","",HLOOKUP(L41,$7:$8,MATCH("キーワードNo.／カテゴリ名",$AA$7:$AA$8,0),FALSE)),"【No.記載で自動入力】")</f>
        <v>【No.記載で自動入力】</v>
      </c>
      <c r="R41" s="161" t="s">
        <v>0</v>
      </c>
      <c r="S41" s="161" t="str">
        <f t="shared" ref="S41:S72" si="11">IFERROR(IF(HLOOKUP(N41,$7:$8,MATCH("キーワードNo.／カテゴリ名",$AA$7:$AA$8,0),FALSE)="","",HLOOKUP(N41,$7:$8,MATCH("キーワードNo.／カテゴリ名",$AA$7:$AA$8,0),FALSE)),"【No.記載で自動入力】")</f>
        <v>【No.記載で自動入力】</v>
      </c>
      <c r="T41" s="160" t="s">
        <v>15</v>
      </c>
      <c r="U41" s="160" t="s">
        <v>15</v>
      </c>
      <c r="V41" s="160" t="s">
        <v>15</v>
      </c>
      <c r="W41" s="162"/>
      <c r="X41" s="162"/>
      <c r="Y41" s="163">
        <f t="shared" si="7"/>
        <v>0</v>
      </c>
      <c r="AA41" s="164" t="s">
        <v>110</v>
      </c>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row>
    <row r="42" spans="1:57" ht="19.5" customHeight="1">
      <c r="A42" s="166"/>
      <c r="B42" s="157" t="str">
        <f t="shared" si="8"/>
        <v>【No.記載で自動入力】</v>
      </c>
      <c r="C42" s="158"/>
      <c r="D42" s="158"/>
      <c r="E42" s="159" t="s">
        <v>15</v>
      </c>
      <c r="F42" s="159" t="s">
        <v>15</v>
      </c>
      <c r="G42" s="159" t="s">
        <v>15</v>
      </c>
      <c r="H42" s="148">
        <f t="shared" si="6"/>
        <v>0</v>
      </c>
      <c r="I42" s="167"/>
      <c r="J42" s="160"/>
      <c r="K42" s="161" t="s">
        <v>0</v>
      </c>
      <c r="L42" s="160"/>
      <c r="M42" s="161" t="s">
        <v>0</v>
      </c>
      <c r="N42" s="160"/>
      <c r="O42" s="161" t="str">
        <f t="shared" si="9"/>
        <v>【No.記載で自動入力】</v>
      </c>
      <c r="P42" s="161" t="s">
        <v>626</v>
      </c>
      <c r="Q42" s="161" t="str">
        <f t="shared" si="10"/>
        <v>【No.記載で自動入力】</v>
      </c>
      <c r="R42" s="161" t="s">
        <v>0</v>
      </c>
      <c r="S42" s="161" t="str">
        <f t="shared" si="11"/>
        <v>【No.記載で自動入力】</v>
      </c>
      <c r="T42" s="160" t="s">
        <v>15</v>
      </c>
      <c r="U42" s="160" t="s">
        <v>15</v>
      </c>
      <c r="V42" s="160" t="s">
        <v>15</v>
      </c>
      <c r="W42" s="162"/>
      <c r="X42" s="162"/>
      <c r="Y42" s="163">
        <f t="shared" si="7"/>
        <v>0</v>
      </c>
      <c r="AA42" s="164" t="s">
        <v>111</v>
      </c>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row>
    <row r="43" spans="1:57" ht="19.5" customHeight="1">
      <c r="A43" s="166"/>
      <c r="B43" s="157" t="str">
        <f t="shared" si="8"/>
        <v>【No.記載で自動入力】</v>
      </c>
      <c r="C43" s="158"/>
      <c r="D43" s="158"/>
      <c r="E43" s="159" t="s">
        <v>15</v>
      </c>
      <c r="F43" s="159" t="s">
        <v>15</v>
      </c>
      <c r="G43" s="159" t="s">
        <v>15</v>
      </c>
      <c r="H43" s="148">
        <f t="shared" si="6"/>
        <v>0</v>
      </c>
      <c r="I43" s="167"/>
      <c r="J43" s="160"/>
      <c r="K43" s="161" t="s">
        <v>0</v>
      </c>
      <c r="L43" s="160"/>
      <c r="M43" s="161" t="s">
        <v>0</v>
      </c>
      <c r="N43" s="160"/>
      <c r="O43" s="161" t="str">
        <f t="shared" si="9"/>
        <v>【No.記載で自動入力】</v>
      </c>
      <c r="P43" s="161" t="s">
        <v>626</v>
      </c>
      <c r="Q43" s="161" t="str">
        <f t="shared" si="10"/>
        <v>【No.記載で自動入力】</v>
      </c>
      <c r="R43" s="161" t="s">
        <v>0</v>
      </c>
      <c r="S43" s="161" t="str">
        <f t="shared" si="11"/>
        <v>【No.記載で自動入力】</v>
      </c>
      <c r="T43" s="160" t="s">
        <v>15</v>
      </c>
      <c r="U43" s="160" t="s">
        <v>15</v>
      </c>
      <c r="V43" s="160" t="s">
        <v>15</v>
      </c>
      <c r="W43" s="162"/>
      <c r="X43" s="162"/>
      <c r="Y43" s="163">
        <f t="shared" si="7"/>
        <v>0</v>
      </c>
      <c r="AA43" s="164" t="s">
        <v>112</v>
      </c>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row>
    <row r="44" spans="1:57" ht="19.5" customHeight="1">
      <c r="A44" s="166"/>
      <c r="B44" s="157" t="str">
        <f t="shared" si="8"/>
        <v>【No.記載で自動入力】</v>
      </c>
      <c r="C44" s="158"/>
      <c r="D44" s="158"/>
      <c r="E44" s="159" t="s">
        <v>15</v>
      </c>
      <c r="F44" s="159" t="s">
        <v>15</v>
      </c>
      <c r="G44" s="159" t="s">
        <v>15</v>
      </c>
      <c r="H44" s="148">
        <f t="shared" si="6"/>
        <v>0</v>
      </c>
      <c r="I44" s="167"/>
      <c r="J44" s="160"/>
      <c r="K44" s="161" t="s">
        <v>0</v>
      </c>
      <c r="L44" s="160"/>
      <c r="M44" s="161" t="s">
        <v>0</v>
      </c>
      <c r="N44" s="160"/>
      <c r="O44" s="161" t="str">
        <f t="shared" si="9"/>
        <v>【No.記載で自動入力】</v>
      </c>
      <c r="P44" s="161" t="s">
        <v>626</v>
      </c>
      <c r="Q44" s="161" t="str">
        <f t="shared" si="10"/>
        <v>【No.記載で自動入力】</v>
      </c>
      <c r="R44" s="161" t="s">
        <v>0</v>
      </c>
      <c r="S44" s="161" t="str">
        <f t="shared" si="11"/>
        <v>【No.記載で自動入力】</v>
      </c>
      <c r="T44" s="160" t="s">
        <v>15</v>
      </c>
      <c r="U44" s="160" t="s">
        <v>15</v>
      </c>
      <c r="V44" s="160" t="s">
        <v>15</v>
      </c>
      <c r="W44" s="162"/>
      <c r="X44" s="162"/>
      <c r="Y44" s="163">
        <f t="shared" si="7"/>
        <v>0</v>
      </c>
      <c r="AA44" s="164" t="s">
        <v>113</v>
      </c>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row>
    <row r="45" spans="1:57" ht="19.5" customHeight="1">
      <c r="A45" s="166"/>
      <c r="B45" s="157" t="str">
        <f t="shared" si="8"/>
        <v>【No.記載で自動入力】</v>
      </c>
      <c r="C45" s="158"/>
      <c r="D45" s="158"/>
      <c r="E45" s="159" t="s">
        <v>15</v>
      </c>
      <c r="F45" s="159" t="s">
        <v>15</v>
      </c>
      <c r="G45" s="159" t="s">
        <v>15</v>
      </c>
      <c r="H45" s="148">
        <f t="shared" si="6"/>
        <v>0</v>
      </c>
      <c r="I45" s="167"/>
      <c r="J45" s="160"/>
      <c r="K45" s="161" t="s">
        <v>0</v>
      </c>
      <c r="L45" s="160"/>
      <c r="M45" s="161" t="s">
        <v>0</v>
      </c>
      <c r="N45" s="160"/>
      <c r="O45" s="161" t="str">
        <f t="shared" si="9"/>
        <v>【No.記載で自動入力】</v>
      </c>
      <c r="P45" s="161" t="s">
        <v>626</v>
      </c>
      <c r="Q45" s="161" t="str">
        <f t="shared" si="10"/>
        <v>【No.記載で自動入力】</v>
      </c>
      <c r="R45" s="161" t="s">
        <v>0</v>
      </c>
      <c r="S45" s="161" t="str">
        <f t="shared" si="11"/>
        <v>【No.記載で自動入力】</v>
      </c>
      <c r="T45" s="160" t="s">
        <v>15</v>
      </c>
      <c r="U45" s="160" t="s">
        <v>15</v>
      </c>
      <c r="V45" s="160" t="s">
        <v>15</v>
      </c>
      <c r="W45" s="162"/>
      <c r="X45" s="162"/>
      <c r="Y45" s="163">
        <f t="shared" si="7"/>
        <v>0</v>
      </c>
      <c r="AA45" s="164" t="s">
        <v>114</v>
      </c>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row>
    <row r="46" spans="1:57" ht="19.5" customHeight="1">
      <c r="A46" s="166"/>
      <c r="B46" s="157" t="str">
        <f t="shared" si="8"/>
        <v>【No.記載で自動入力】</v>
      </c>
      <c r="C46" s="158"/>
      <c r="D46" s="158"/>
      <c r="E46" s="159" t="s">
        <v>15</v>
      </c>
      <c r="F46" s="159" t="s">
        <v>15</v>
      </c>
      <c r="G46" s="159" t="s">
        <v>15</v>
      </c>
      <c r="H46" s="148">
        <f t="shared" si="6"/>
        <v>0</v>
      </c>
      <c r="I46" s="167"/>
      <c r="J46" s="160"/>
      <c r="K46" s="161" t="s">
        <v>0</v>
      </c>
      <c r="L46" s="160"/>
      <c r="M46" s="161" t="s">
        <v>0</v>
      </c>
      <c r="N46" s="160"/>
      <c r="O46" s="161" t="str">
        <f t="shared" si="9"/>
        <v>【No.記載で自動入力】</v>
      </c>
      <c r="P46" s="161" t="s">
        <v>626</v>
      </c>
      <c r="Q46" s="161" t="str">
        <f t="shared" si="10"/>
        <v>【No.記載で自動入力】</v>
      </c>
      <c r="R46" s="161" t="s">
        <v>0</v>
      </c>
      <c r="S46" s="161" t="str">
        <f t="shared" si="11"/>
        <v>【No.記載で自動入力】</v>
      </c>
      <c r="T46" s="160" t="s">
        <v>15</v>
      </c>
      <c r="U46" s="160" t="s">
        <v>15</v>
      </c>
      <c r="V46" s="160" t="s">
        <v>15</v>
      </c>
      <c r="W46" s="162"/>
      <c r="X46" s="162"/>
      <c r="Y46" s="163">
        <f t="shared" si="7"/>
        <v>0</v>
      </c>
      <c r="AA46" s="164" t="s">
        <v>115</v>
      </c>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row>
    <row r="47" spans="1:57" ht="19.5" customHeight="1">
      <c r="A47" s="166"/>
      <c r="B47" s="157" t="str">
        <f t="shared" si="8"/>
        <v>【No.記載で自動入力】</v>
      </c>
      <c r="C47" s="158"/>
      <c r="D47" s="158"/>
      <c r="E47" s="159" t="s">
        <v>15</v>
      </c>
      <c r="F47" s="159" t="s">
        <v>15</v>
      </c>
      <c r="G47" s="159" t="s">
        <v>15</v>
      </c>
      <c r="H47" s="148">
        <f t="shared" si="6"/>
        <v>0</v>
      </c>
      <c r="I47" s="167"/>
      <c r="J47" s="160"/>
      <c r="K47" s="161" t="s">
        <v>0</v>
      </c>
      <c r="L47" s="160"/>
      <c r="M47" s="161" t="s">
        <v>0</v>
      </c>
      <c r="N47" s="160"/>
      <c r="O47" s="161" t="str">
        <f t="shared" si="9"/>
        <v>【No.記載で自動入力】</v>
      </c>
      <c r="P47" s="161" t="s">
        <v>626</v>
      </c>
      <c r="Q47" s="161" t="str">
        <f t="shared" si="10"/>
        <v>【No.記載で自動入力】</v>
      </c>
      <c r="R47" s="161" t="s">
        <v>0</v>
      </c>
      <c r="S47" s="161" t="str">
        <f t="shared" si="11"/>
        <v>【No.記載で自動入力】</v>
      </c>
      <c r="T47" s="160" t="s">
        <v>15</v>
      </c>
      <c r="U47" s="160" t="s">
        <v>15</v>
      </c>
      <c r="V47" s="160" t="s">
        <v>15</v>
      </c>
      <c r="W47" s="162"/>
      <c r="X47" s="162"/>
      <c r="Y47" s="163">
        <f t="shared" si="7"/>
        <v>0</v>
      </c>
      <c r="AA47" s="164" t="s">
        <v>116</v>
      </c>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row>
    <row r="48" spans="1:57" ht="19.5" customHeight="1">
      <c r="A48" s="166"/>
      <c r="B48" s="157" t="str">
        <f t="shared" si="8"/>
        <v>【No.記載で自動入力】</v>
      </c>
      <c r="C48" s="158"/>
      <c r="D48" s="158"/>
      <c r="E48" s="159" t="s">
        <v>15</v>
      </c>
      <c r="F48" s="159" t="s">
        <v>15</v>
      </c>
      <c r="G48" s="159" t="s">
        <v>15</v>
      </c>
      <c r="H48" s="148">
        <f t="shared" si="6"/>
        <v>0</v>
      </c>
      <c r="I48" s="167"/>
      <c r="J48" s="160"/>
      <c r="K48" s="161" t="s">
        <v>0</v>
      </c>
      <c r="L48" s="160"/>
      <c r="M48" s="161" t="s">
        <v>0</v>
      </c>
      <c r="N48" s="160"/>
      <c r="O48" s="161" t="str">
        <f t="shared" si="9"/>
        <v>【No.記載で自動入力】</v>
      </c>
      <c r="P48" s="161" t="s">
        <v>629</v>
      </c>
      <c r="Q48" s="161" t="str">
        <f t="shared" si="10"/>
        <v>【No.記載で自動入力】</v>
      </c>
      <c r="R48" s="161" t="s">
        <v>0</v>
      </c>
      <c r="S48" s="161" t="str">
        <f t="shared" si="11"/>
        <v>【No.記載で自動入力】</v>
      </c>
      <c r="T48" s="160" t="s">
        <v>15</v>
      </c>
      <c r="U48" s="160" t="s">
        <v>15</v>
      </c>
      <c r="V48" s="160" t="s">
        <v>15</v>
      </c>
      <c r="W48" s="162"/>
      <c r="X48" s="162"/>
      <c r="Y48" s="163">
        <f t="shared" si="7"/>
        <v>0</v>
      </c>
      <c r="AA48" s="164" t="s">
        <v>117</v>
      </c>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row>
    <row r="49" spans="1:57" ht="19.5" customHeight="1">
      <c r="A49" s="166"/>
      <c r="B49" s="157" t="str">
        <f t="shared" si="8"/>
        <v>【No.記載で自動入力】</v>
      </c>
      <c r="C49" s="158"/>
      <c r="D49" s="158"/>
      <c r="E49" s="159" t="s">
        <v>15</v>
      </c>
      <c r="F49" s="159" t="s">
        <v>15</v>
      </c>
      <c r="G49" s="159" t="s">
        <v>15</v>
      </c>
      <c r="H49" s="148">
        <f t="shared" si="6"/>
        <v>0</v>
      </c>
      <c r="I49" s="167"/>
      <c r="J49" s="160"/>
      <c r="K49" s="161" t="s">
        <v>0</v>
      </c>
      <c r="L49" s="160"/>
      <c r="M49" s="161" t="s">
        <v>0</v>
      </c>
      <c r="N49" s="160"/>
      <c r="O49" s="161" t="str">
        <f t="shared" si="9"/>
        <v>【No.記載で自動入力】</v>
      </c>
      <c r="P49" s="161" t="s">
        <v>630</v>
      </c>
      <c r="Q49" s="161" t="str">
        <f t="shared" si="10"/>
        <v>【No.記載で自動入力】</v>
      </c>
      <c r="R49" s="161" t="s">
        <v>0</v>
      </c>
      <c r="S49" s="161" t="str">
        <f t="shared" si="11"/>
        <v>【No.記載で自動入力】</v>
      </c>
      <c r="T49" s="160" t="s">
        <v>15</v>
      </c>
      <c r="U49" s="160" t="s">
        <v>15</v>
      </c>
      <c r="V49" s="160" t="s">
        <v>15</v>
      </c>
      <c r="W49" s="162"/>
      <c r="X49" s="162"/>
      <c r="Y49" s="163">
        <f t="shared" si="7"/>
        <v>0</v>
      </c>
      <c r="AA49" s="164" t="s">
        <v>118</v>
      </c>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row>
    <row r="50" spans="1:57" ht="19.5" customHeight="1">
      <c r="A50" s="166"/>
      <c r="B50" s="157" t="str">
        <f t="shared" si="8"/>
        <v>【No.記載で自動入力】</v>
      </c>
      <c r="C50" s="158"/>
      <c r="D50" s="158"/>
      <c r="E50" s="159" t="s">
        <v>15</v>
      </c>
      <c r="F50" s="159" t="s">
        <v>15</v>
      </c>
      <c r="G50" s="159" t="s">
        <v>15</v>
      </c>
      <c r="H50" s="148">
        <f t="shared" si="6"/>
        <v>0</v>
      </c>
      <c r="I50" s="167"/>
      <c r="J50" s="160"/>
      <c r="K50" s="161" t="s">
        <v>0</v>
      </c>
      <c r="L50" s="160"/>
      <c r="M50" s="161" t="s">
        <v>0</v>
      </c>
      <c r="N50" s="160"/>
      <c r="O50" s="161" t="str">
        <f t="shared" si="9"/>
        <v>【No.記載で自動入力】</v>
      </c>
      <c r="P50" s="161" t="s">
        <v>626</v>
      </c>
      <c r="Q50" s="161" t="str">
        <f t="shared" si="10"/>
        <v>【No.記載で自動入力】</v>
      </c>
      <c r="R50" s="161" t="s">
        <v>0</v>
      </c>
      <c r="S50" s="161" t="str">
        <f t="shared" si="11"/>
        <v>【No.記載で自動入力】</v>
      </c>
      <c r="T50" s="160" t="s">
        <v>15</v>
      </c>
      <c r="U50" s="160" t="s">
        <v>15</v>
      </c>
      <c r="V50" s="160" t="s">
        <v>15</v>
      </c>
      <c r="W50" s="162"/>
      <c r="X50" s="162"/>
      <c r="Y50" s="163">
        <f t="shared" si="7"/>
        <v>0</v>
      </c>
      <c r="AA50" s="164" t="s">
        <v>119</v>
      </c>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row>
    <row r="51" spans="1:57" ht="19.5" customHeight="1">
      <c r="A51" s="166"/>
      <c r="B51" s="157" t="str">
        <f t="shared" si="8"/>
        <v>【No.記載で自動入力】</v>
      </c>
      <c r="C51" s="158"/>
      <c r="D51" s="158"/>
      <c r="E51" s="159" t="s">
        <v>15</v>
      </c>
      <c r="F51" s="159" t="s">
        <v>15</v>
      </c>
      <c r="G51" s="159" t="s">
        <v>15</v>
      </c>
      <c r="H51" s="148">
        <f t="shared" si="6"/>
        <v>0</v>
      </c>
      <c r="I51" s="167"/>
      <c r="J51" s="160"/>
      <c r="K51" s="161" t="s">
        <v>0</v>
      </c>
      <c r="L51" s="160"/>
      <c r="M51" s="161" t="s">
        <v>0</v>
      </c>
      <c r="N51" s="160"/>
      <c r="O51" s="161" t="str">
        <f t="shared" si="9"/>
        <v>【No.記載で自動入力】</v>
      </c>
      <c r="P51" s="161" t="s">
        <v>626</v>
      </c>
      <c r="Q51" s="161" t="str">
        <f t="shared" si="10"/>
        <v>【No.記載で自動入力】</v>
      </c>
      <c r="R51" s="161" t="s">
        <v>0</v>
      </c>
      <c r="S51" s="161" t="str">
        <f t="shared" si="11"/>
        <v>【No.記載で自動入力】</v>
      </c>
      <c r="T51" s="160" t="s">
        <v>15</v>
      </c>
      <c r="U51" s="160" t="s">
        <v>15</v>
      </c>
      <c r="V51" s="160" t="s">
        <v>15</v>
      </c>
      <c r="W51" s="162"/>
      <c r="X51" s="162"/>
      <c r="Y51" s="163">
        <f t="shared" si="7"/>
        <v>0</v>
      </c>
      <c r="AA51" s="164" t="s">
        <v>120</v>
      </c>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row>
    <row r="52" spans="1:57" ht="19.5" customHeight="1">
      <c r="A52" s="166"/>
      <c r="B52" s="157" t="str">
        <f t="shared" si="8"/>
        <v>【No.記載で自動入力】</v>
      </c>
      <c r="C52" s="158"/>
      <c r="D52" s="158"/>
      <c r="E52" s="159" t="s">
        <v>15</v>
      </c>
      <c r="F52" s="159" t="s">
        <v>15</v>
      </c>
      <c r="G52" s="159" t="s">
        <v>15</v>
      </c>
      <c r="H52" s="148">
        <f t="shared" si="6"/>
        <v>0</v>
      </c>
      <c r="I52" s="167"/>
      <c r="J52" s="160"/>
      <c r="K52" s="161" t="s">
        <v>0</v>
      </c>
      <c r="L52" s="160"/>
      <c r="M52" s="161" t="s">
        <v>0</v>
      </c>
      <c r="N52" s="160"/>
      <c r="O52" s="161" t="str">
        <f t="shared" si="9"/>
        <v>【No.記載で自動入力】</v>
      </c>
      <c r="P52" s="161" t="s">
        <v>626</v>
      </c>
      <c r="Q52" s="161" t="str">
        <f t="shared" si="10"/>
        <v>【No.記載で自動入力】</v>
      </c>
      <c r="R52" s="161" t="s">
        <v>0</v>
      </c>
      <c r="S52" s="161" t="str">
        <f t="shared" si="11"/>
        <v>【No.記載で自動入力】</v>
      </c>
      <c r="T52" s="160" t="s">
        <v>15</v>
      </c>
      <c r="U52" s="160" t="s">
        <v>15</v>
      </c>
      <c r="V52" s="160" t="s">
        <v>15</v>
      </c>
      <c r="W52" s="162"/>
      <c r="X52" s="162"/>
      <c r="Y52" s="163">
        <f t="shared" si="7"/>
        <v>0</v>
      </c>
      <c r="AA52" s="164" t="s">
        <v>121</v>
      </c>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row>
    <row r="53" spans="1:57" ht="19.5" customHeight="1">
      <c r="A53" s="166"/>
      <c r="B53" s="157" t="str">
        <f t="shared" si="8"/>
        <v>【No.記載で自動入力】</v>
      </c>
      <c r="C53" s="158"/>
      <c r="D53" s="158"/>
      <c r="E53" s="159" t="s">
        <v>15</v>
      </c>
      <c r="F53" s="159" t="s">
        <v>15</v>
      </c>
      <c r="G53" s="159" t="s">
        <v>15</v>
      </c>
      <c r="H53" s="148">
        <f t="shared" si="6"/>
        <v>0</v>
      </c>
      <c r="I53" s="167"/>
      <c r="J53" s="160"/>
      <c r="K53" s="161" t="s">
        <v>0</v>
      </c>
      <c r="L53" s="160"/>
      <c r="M53" s="161" t="s">
        <v>0</v>
      </c>
      <c r="N53" s="160"/>
      <c r="O53" s="161" t="str">
        <f t="shared" si="9"/>
        <v>【No.記載で自動入力】</v>
      </c>
      <c r="P53" s="161" t="s">
        <v>626</v>
      </c>
      <c r="Q53" s="161" t="str">
        <f t="shared" si="10"/>
        <v>【No.記載で自動入力】</v>
      </c>
      <c r="R53" s="161" t="s">
        <v>0</v>
      </c>
      <c r="S53" s="161" t="str">
        <f t="shared" si="11"/>
        <v>【No.記載で自動入力】</v>
      </c>
      <c r="T53" s="160" t="s">
        <v>15</v>
      </c>
      <c r="U53" s="160" t="s">
        <v>15</v>
      </c>
      <c r="V53" s="160" t="s">
        <v>15</v>
      </c>
      <c r="W53" s="162"/>
      <c r="X53" s="162"/>
      <c r="Y53" s="163">
        <f t="shared" si="7"/>
        <v>0</v>
      </c>
      <c r="AA53" s="164" t="s">
        <v>122</v>
      </c>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row>
    <row r="54" spans="1:57" ht="19.5" customHeight="1">
      <c r="A54" s="166"/>
      <c r="B54" s="157" t="str">
        <f t="shared" si="8"/>
        <v>【No.記載で自動入力】</v>
      </c>
      <c r="C54" s="158"/>
      <c r="D54" s="158"/>
      <c r="E54" s="159" t="s">
        <v>15</v>
      </c>
      <c r="F54" s="159" t="s">
        <v>15</v>
      </c>
      <c r="G54" s="159" t="s">
        <v>15</v>
      </c>
      <c r="H54" s="148">
        <f t="shared" si="6"/>
        <v>0</v>
      </c>
      <c r="I54" s="167"/>
      <c r="J54" s="160"/>
      <c r="K54" s="161" t="s">
        <v>0</v>
      </c>
      <c r="L54" s="160"/>
      <c r="M54" s="161" t="s">
        <v>0</v>
      </c>
      <c r="N54" s="160"/>
      <c r="O54" s="161" t="str">
        <f t="shared" si="9"/>
        <v>【No.記載で自動入力】</v>
      </c>
      <c r="P54" s="161" t="s">
        <v>626</v>
      </c>
      <c r="Q54" s="161" t="str">
        <f t="shared" si="10"/>
        <v>【No.記載で自動入力】</v>
      </c>
      <c r="R54" s="161" t="s">
        <v>0</v>
      </c>
      <c r="S54" s="161" t="str">
        <f t="shared" si="11"/>
        <v>【No.記載で自動入力】</v>
      </c>
      <c r="T54" s="160" t="s">
        <v>15</v>
      </c>
      <c r="U54" s="160" t="s">
        <v>15</v>
      </c>
      <c r="V54" s="160" t="s">
        <v>15</v>
      </c>
      <c r="W54" s="162"/>
      <c r="X54" s="162"/>
      <c r="Y54" s="163">
        <f t="shared" si="7"/>
        <v>0</v>
      </c>
      <c r="AA54" s="164" t="s">
        <v>123</v>
      </c>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row>
    <row r="55" spans="1:57" ht="19.5" customHeight="1">
      <c r="A55" s="166"/>
      <c r="B55" s="157" t="str">
        <f t="shared" si="8"/>
        <v>【No.記載で自動入力】</v>
      </c>
      <c r="C55" s="158"/>
      <c r="D55" s="158"/>
      <c r="E55" s="159" t="s">
        <v>15</v>
      </c>
      <c r="F55" s="159" t="s">
        <v>15</v>
      </c>
      <c r="G55" s="159" t="s">
        <v>15</v>
      </c>
      <c r="H55" s="148">
        <f t="shared" si="6"/>
        <v>0</v>
      </c>
      <c r="I55" s="167"/>
      <c r="J55" s="160"/>
      <c r="K55" s="161" t="s">
        <v>0</v>
      </c>
      <c r="L55" s="160"/>
      <c r="M55" s="161" t="s">
        <v>0</v>
      </c>
      <c r="N55" s="160"/>
      <c r="O55" s="161" t="str">
        <f t="shared" si="9"/>
        <v>【No.記載で自動入力】</v>
      </c>
      <c r="P55" s="161" t="s">
        <v>629</v>
      </c>
      <c r="Q55" s="161" t="str">
        <f t="shared" si="10"/>
        <v>【No.記載で自動入力】</v>
      </c>
      <c r="R55" s="161" t="s">
        <v>0</v>
      </c>
      <c r="S55" s="161" t="str">
        <f t="shared" si="11"/>
        <v>【No.記載で自動入力】</v>
      </c>
      <c r="T55" s="160" t="s">
        <v>15</v>
      </c>
      <c r="U55" s="160" t="s">
        <v>15</v>
      </c>
      <c r="V55" s="160" t="s">
        <v>15</v>
      </c>
      <c r="W55" s="162"/>
      <c r="X55" s="162"/>
      <c r="Y55" s="163">
        <f t="shared" si="7"/>
        <v>0</v>
      </c>
      <c r="AA55" s="164" t="s">
        <v>124</v>
      </c>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row>
    <row r="56" spans="1:57" ht="19.5" customHeight="1">
      <c r="A56" s="166"/>
      <c r="B56" s="157" t="str">
        <f t="shared" si="8"/>
        <v>【No.記載で自動入力】</v>
      </c>
      <c r="C56" s="158"/>
      <c r="D56" s="158"/>
      <c r="E56" s="159" t="s">
        <v>15</v>
      </c>
      <c r="F56" s="159" t="s">
        <v>15</v>
      </c>
      <c r="G56" s="159" t="s">
        <v>15</v>
      </c>
      <c r="H56" s="148">
        <f t="shared" si="6"/>
        <v>0</v>
      </c>
      <c r="I56" s="167"/>
      <c r="J56" s="160"/>
      <c r="K56" s="161" t="s">
        <v>0</v>
      </c>
      <c r="L56" s="160"/>
      <c r="M56" s="161" t="s">
        <v>0</v>
      </c>
      <c r="N56" s="160"/>
      <c r="O56" s="161" t="str">
        <f t="shared" si="9"/>
        <v>【No.記載で自動入力】</v>
      </c>
      <c r="P56" s="161" t="s">
        <v>626</v>
      </c>
      <c r="Q56" s="161" t="str">
        <f t="shared" si="10"/>
        <v>【No.記載で自動入力】</v>
      </c>
      <c r="R56" s="161" t="s">
        <v>0</v>
      </c>
      <c r="S56" s="161" t="str">
        <f t="shared" si="11"/>
        <v>【No.記載で自動入力】</v>
      </c>
      <c r="T56" s="160" t="s">
        <v>15</v>
      </c>
      <c r="U56" s="160" t="s">
        <v>15</v>
      </c>
      <c r="V56" s="160" t="s">
        <v>15</v>
      </c>
      <c r="W56" s="162"/>
      <c r="X56" s="162"/>
      <c r="Y56" s="163">
        <f t="shared" si="7"/>
        <v>0</v>
      </c>
      <c r="AA56" s="164" t="s">
        <v>125</v>
      </c>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row>
    <row r="57" spans="1:57" ht="19.5" customHeight="1">
      <c r="A57" s="166"/>
      <c r="B57" s="157" t="str">
        <f t="shared" si="8"/>
        <v>【No.記載で自動入力】</v>
      </c>
      <c r="C57" s="158"/>
      <c r="D57" s="158"/>
      <c r="E57" s="159" t="s">
        <v>15</v>
      </c>
      <c r="F57" s="159" t="s">
        <v>15</v>
      </c>
      <c r="G57" s="159" t="s">
        <v>15</v>
      </c>
      <c r="H57" s="148">
        <f t="shared" si="6"/>
        <v>0</v>
      </c>
      <c r="I57" s="167"/>
      <c r="J57" s="160"/>
      <c r="K57" s="161" t="s">
        <v>0</v>
      </c>
      <c r="L57" s="160"/>
      <c r="M57" s="161" t="s">
        <v>0</v>
      </c>
      <c r="N57" s="160"/>
      <c r="O57" s="161" t="str">
        <f t="shared" si="9"/>
        <v>【No.記載で自動入力】</v>
      </c>
      <c r="P57" s="161" t="s">
        <v>626</v>
      </c>
      <c r="Q57" s="161" t="str">
        <f t="shared" si="10"/>
        <v>【No.記載で自動入力】</v>
      </c>
      <c r="R57" s="161" t="s">
        <v>0</v>
      </c>
      <c r="S57" s="161" t="str">
        <f t="shared" si="11"/>
        <v>【No.記載で自動入力】</v>
      </c>
      <c r="T57" s="160" t="s">
        <v>15</v>
      </c>
      <c r="U57" s="160" t="s">
        <v>15</v>
      </c>
      <c r="V57" s="160" t="s">
        <v>15</v>
      </c>
      <c r="W57" s="162"/>
      <c r="X57" s="162"/>
      <c r="Y57" s="163">
        <f t="shared" si="7"/>
        <v>0</v>
      </c>
      <c r="AA57" s="164" t="s">
        <v>126</v>
      </c>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row>
    <row r="58" spans="1:57" ht="19.5" customHeight="1">
      <c r="A58" s="166"/>
      <c r="B58" s="157" t="str">
        <f t="shared" si="8"/>
        <v>【No.記載で自動入力】</v>
      </c>
      <c r="C58" s="158"/>
      <c r="D58" s="158"/>
      <c r="E58" s="159" t="s">
        <v>15</v>
      </c>
      <c r="F58" s="159" t="s">
        <v>15</v>
      </c>
      <c r="G58" s="159" t="s">
        <v>15</v>
      </c>
      <c r="H58" s="148">
        <f t="shared" si="6"/>
        <v>0</v>
      </c>
      <c r="I58" s="167"/>
      <c r="J58" s="160"/>
      <c r="K58" s="161" t="s">
        <v>0</v>
      </c>
      <c r="L58" s="160"/>
      <c r="M58" s="161" t="s">
        <v>0</v>
      </c>
      <c r="N58" s="160"/>
      <c r="O58" s="161" t="str">
        <f t="shared" si="9"/>
        <v>【No.記載で自動入力】</v>
      </c>
      <c r="P58" s="161" t="s">
        <v>626</v>
      </c>
      <c r="Q58" s="161" t="str">
        <f t="shared" si="10"/>
        <v>【No.記載で自動入力】</v>
      </c>
      <c r="R58" s="161" t="s">
        <v>0</v>
      </c>
      <c r="S58" s="161" t="str">
        <f t="shared" si="11"/>
        <v>【No.記載で自動入力】</v>
      </c>
      <c r="T58" s="160" t="s">
        <v>15</v>
      </c>
      <c r="U58" s="160" t="s">
        <v>15</v>
      </c>
      <c r="V58" s="160" t="s">
        <v>15</v>
      </c>
      <c r="W58" s="162"/>
      <c r="X58" s="162"/>
      <c r="Y58" s="163">
        <f t="shared" si="7"/>
        <v>0</v>
      </c>
      <c r="AA58" s="164" t="s">
        <v>127</v>
      </c>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row>
    <row r="59" spans="1:57" ht="19.5" customHeight="1">
      <c r="A59" s="166"/>
      <c r="B59" s="157" t="str">
        <f t="shared" si="8"/>
        <v>【No.記載で自動入力】</v>
      </c>
      <c r="C59" s="158"/>
      <c r="D59" s="158"/>
      <c r="E59" s="159" t="s">
        <v>15</v>
      </c>
      <c r="F59" s="159" t="s">
        <v>15</v>
      </c>
      <c r="G59" s="159" t="s">
        <v>15</v>
      </c>
      <c r="H59" s="148">
        <f t="shared" si="6"/>
        <v>0</v>
      </c>
      <c r="I59" s="167"/>
      <c r="J59" s="160"/>
      <c r="K59" s="161" t="s">
        <v>0</v>
      </c>
      <c r="L59" s="160"/>
      <c r="M59" s="161" t="s">
        <v>0</v>
      </c>
      <c r="N59" s="160"/>
      <c r="O59" s="161" t="str">
        <f t="shared" si="9"/>
        <v>【No.記載で自動入力】</v>
      </c>
      <c r="P59" s="161" t="s">
        <v>629</v>
      </c>
      <c r="Q59" s="161" t="str">
        <f t="shared" si="10"/>
        <v>【No.記載で自動入力】</v>
      </c>
      <c r="R59" s="161" t="s">
        <v>0</v>
      </c>
      <c r="S59" s="161" t="str">
        <f t="shared" si="11"/>
        <v>【No.記載で自動入力】</v>
      </c>
      <c r="T59" s="160" t="s">
        <v>15</v>
      </c>
      <c r="U59" s="160" t="s">
        <v>15</v>
      </c>
      <c r="V59" s="160" t="s">
        <v>15</v>
      </c>
      <c r="W59" s="162"/>
      <c r="X59" s="162"/>
      <c r="Y59" s="163">
        <f t="shared" si="7"/>
        <v>0</v>
      </c>
      <c r="AA59" s="164" t="s">
        <v>128</v>
      </c>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row>
    <row r="60" spans="1:57" ht="19.5" customHeight="1">
      <c r="A60" s="166"/>
      <c r="B60" s="157" t="str">
        <f t="shared" si="8"/>
        <v>【No.記載で自動入力】</v>
      </c>
      <c r="C60" s="158"/>
      <c r="D60" s="158"/>
      <c r="E60" s="159" t="s">
        <v>15</v>
      </c>
      <c r="F60" s="159" t="s">
        <v>15</v>
      </c>
      <c r="G60" s="159" t="s">
        <v>15</v>
      </c>
      <c r="H60" s="148">
        <f t="shared" si="6"/>
        <v>0</v>
      </c>
      <c r="I60" s="167"/>
      <c r="J60" s="160"/>
      <c r="K60" s="161" t="s">
        <v>0</v>
      </c>
      <c r="L60" s="160"/>
      <c r="M60" s="161" t="s">
        <v>0</v>
      </c>
      <c r="N60" s="160"/>
      <c r="O60" s="161" t="str">
        <f t="shared" si="9"/>
        <v>【No.記載で自動入力】</v>
      </c>
      <c r="P60" s="161" t="s">
        <v>629</v>
      </c>
      <c r="Q60" s="161" t="str">
        <f t="shared" si="10"/>
        <v>【No.記載で自動入力】</v>
      </c>
      <c r="R60" s="161" t="s">
        <v>0</v>
      </c>
      <c r="S60" s="161" t="str">
        <f t="shared" si="11"/>
        <v>【No.記載で自動入力】</v>
      </c>
      <c r="T60" s="160" t="s">
        <v>15</v>
      </c>
      <c r="U60" s="160" t="s">
        <v>15</v>
      </c>
      <c r="V60" s="160" t="s">
        <v>15</v>
      </c>
      <c r="W60" s="162"/>
      <c r="X60" s="162"/>
      <c r="Y60" s="163">
        <f t="shared" si="7"/>
        <v>0</v>
      </c>
      <c r="AA60" s="164" t="s">
        <v>129</v>
      </c>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row>
    <row r="61" spans="1:57" ht="19.5" customHeight="1">
      <c r="A61" s="166"/>
      <c r="B61" s="157" t="str">
        <f t="shared" si="8"/>
        <v>【No.記載で自動入力】</v>
      </c>
      <c r="C61" s="158"/>
      <c r="D61" s="158"/>
      <c r="E61" s="159" t="s">
        <v>15</v>
      </c>
      <c r="F61" s="159" t="s">
        <v>15</v>
      </c>
      <c r="G61" s="159" t="s">
        <v>15</v>
      </c>
      <c r="H61" s="148">
        <f t="shared" si="6"/>
        <v>0</v>
      </c>
      <c r="I61" s="167"/>
      <c r="J61" s="160"/>
      <c r="K61" s="161" t="s">
        <v>0</v>
      </c>
      <c r="L61" s="160"/>
      <c r="M61" s="161" t="s">
        <v>0</v>
      </c>
      <c r="N61" s="160"/>
      <c r="O61" s="161" t="str">
        <f t="shared" si="9"/>
        <v>【No.記載で自動入力】</v>
      </c>
      <c r="P61" s="161" t="s">
        <v>629</v>
      </c>
      <c r="Q61" s="161" t="str">
        <f t="shared" si="10"/>
        <v>【No.記載で自動入力】</v>
      </c>
      <c r="R61" s="161" t="s">
        <v>0</v>
      </c>
      <c r="S61" s="161" t="str">
        <f t="shared" si="11"/>
        <v>【No.記載で自動入力】</v>
      </c>
      <c r="T61" s="160" t="s">
        <v>15</v>
      </c>
      <c r="U61" s="160" t="s">
        <v>15</v>
      </c>
      <c r="V61" s="160" t="s">
        <v>15</v>
      </c>
      <c r="W61" s="162"/>
      <c r="X61" s="162"/>
      <c r="Y61" s="163">
        <f t="shared" si="7"/>
        <v>0</v>
      </c>
      <c r="AA61" s="164" t="s">
        <v>130</v>
      </c>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row>
    <row r="62" spans="1:57" ht="19.5" customHeight="1">
      <c r="A62" s="166"/>
      <c r="B62" s="157" t="str">
        <f t="shared" si="8"/>
        <v>【No.記載で自動入力】</v>
      </c>
      <c r="C62" s="158"/>
      <c r="D62" s="158"/>
      <c r="E62" s="159" t="s">
        <v>15</v>
      </c>
      <c r="F62" s="159" t="s">
        <v>15</v>
      </c>
      <c r="G62" s="159" t="s">
        <v>15</v>
      </c>
      <c r="H62" s="148">
        <f t="shared" si="6"/>
        <v>0</v>
      </c>
      <c r="I62" s="167"/>
      <c r="J62" s="160"/>
      <c r="K62" s="161" t="s">
        <v>0</v>
      </c>
      <c r="L62" s="160"/>
      <c r="M62" s="161" t="s">
        <v>0</v>
      </c>
      <c r="N62" s="160"/>
      <c r="O62" s="161" t="str">
        <f t="shared" si="9"/>
        <v>【No.記載で自動入力】</v>
      </c>
      <c r="P62" s="161" t="s">
        <v>629</v>
      </c>
      <c r="Q62" s="161" t="str">
        <f t="shared" si="10"/>
        <v>【No.記載で自動入力】</v>
      </c>
      <c r="R62" s="161" t="s">
        <v>0</v>
      </c>
      <c r="S62" s="161" t="str">
        <f t="shared" si="11"/>
        <v>【No.記載で自動入力】</v>
      </c>
      <c r="T62" s="160" t="s">
        <v>15</v>
      </c>
      <c r="U62" s="160" t="s">
        <v>15</v>
      </c>
      <c r="V62" s="160" t="s">
        <v>15</v>
      </c>
      <c r="W62" s="162"/>
      <c r="X62" s="162"/>
      <c r="Y62" s="163">
        <f t="shared" si="7"/>
        <v>0</v>
      </c>
      <c r="AA62" s="164" t="s">
        <v>131</v>
      </c>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row>
    <row r="63" spans="1:57" ht="19.5" customHeight="1">
      <c r="A63" s="166"/>
      <c r="B63" s="157" t="str">
        <f t="shared" si="8"/>
        <v>【No.記載で自動入力】</v>
      </c>
      <c r="C63" s="158"/>
      <c r="D63" s="158"/>
      <c r="E63" s="159" t="s">
        <v>15</v>
      </c>
      <c r="F63" s="159" t="s">
        <v>15</v>
      </c>
      <c r="G63" s="159" t="s">
        <v>15</v>
      </c>
      <c r="H63" s="148">
        <f t="shared" si="6"/>
        <v>0</v>
      </c>
      <c r="I63" s="167"/>
      <c r="J63" s="160"/>
      <c r="K63" s="161" t="s">
        <v>0</v>
      </c>
      <c r="L63" s="160"/>
      <c r="M63" s="161" t="s">
        <v>0</v>
      </c>
      <c r="N63" s="160"/>
      <c r="O63" s="161" t="str">
        <f t="shared" si="9"/>
        <v>【No.記載で自動入力】</v>
      </c>
      <c r="P63" s="161" t="s">
        <v>629</v>
      </c>
      <c r="Q63" s="161" t="str">
        <f t="shared" si="10"/>
        <v>【No.記載で自動入力】</v>
      </c>
      <c r="R63" s="161" t="s">
        <v>0</v>
      </c>
      <c r="S63" s="161" t="str">
        <f t="shared" si="11"/>
        <v>【No.記載で自動入力】</v>
      </c>
      <c r="T63" s="160" t="s">
        <v>15</v>
      </c>
      <c r="U63" s="160" t="s">
        <v>15</v>
      </c>
      <c r="V63" s="160" t="s">
        <v>15</v>
      </c>
      <c r="W63" s="162"/>
      <c r="X63" s="162"/>
      <c r="Y63" s="163">
        <f t="shared" si="7"/>
        <v>0</v>
      </c>
      <c r="AA63" s="164" t="s">
        <v>132</v>
      </c>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row>
    <row r="64" spans="1:57" ht="19.5" customHeight="1">
      <c r="A64" s="166"/>
      <c r="B64" s="157" t="str">
        <f t="shared" si="8"/>
        <v>【No.記載で自動入力】</v>
      </c>
      <c r="C64" s="158"/>
      <c r="D64" s="158"/>
      <c r="E64" s="159" t="s">
        <v>15</v>
      </c>
      <c r="F64" s="159" t="s">
        <v>15</v>
      </c>
      <c r="G64" s="159" t="s">
        <v>15</v>
      </c>
      <c r="H64" s="148">
        <f t="shared" si="6"/>
        <v>0</v>
      </c>
      <c r="I64" s="167"/>
      <c r="J64" s="160"/>
      <c r="K64" s="161" t="s">
        <v>0</v>
      </c>
      <c r="L64" s="160"/>
      <c r="M64" s="161" t="s">
        <v>0</v>
      </c>
      <c r="N64" s="160"/>
      <c r="O64" s="161" t="str">
        <f t="shared" si="9"/>
        <v>【No.記載で自動入力】</v>
      </c>
      <c r="P64" s="161" t="s">
        <v>629</v>
      </c>
      <c r="Q64" s="161" t="str">
        <f t="shared" si="10"/>
        <v>【No.記載で自動入力】</v>
      </c>
      <c r="R64" s="161" t="s">
        <v>0</v>
      </c>
      <c r="S64" s="161" t="str">
        <f t="shared" si="11"/>
        <v>【No.記載で自動入力】</v>
      </c>
      <c r="T64" s="160" t="s">
        <v>15</v>
      </c>
      <c r="U64" s="160" t="s">
        <v>15</v>
      </c>
      <c r="V64" s="160" t="s">
        <v>15</v>
      </c>
      <c r="W64" s="162"/>
      <c r="X64" s="162"/>
      <c r="Y64" s="163">
        <f t="shared" si="7"/>
        <v>0</v>
      </c>
      <c r="AA64" s="164" t="s">
        <v>133</v>
      </c>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row>
    <row r="65" spans="1:57" ht="19.5" customHeight="1">
      <c r="A65" s="166"/>
      <c r="B65" s="157" t="str">
        <f t="shared" si="8"/>
        <v>【No.記載で自動入力】</v>
      </c>
      <c r="C65" s="158"/>
      <c r="D65" s="158"/>
      <c r="E65" s="159" t="s">
        <v>15</v>
      </c>
      <c r="F65" s="159" t="s">
        <v>15</v>
      </c>
      <c r="G65" s="159" t="s">
        <v>15</v>
      </c>
      <c r="H65" s="148">
        <f t="shared" si="6"/>
        <v>0</v>
      </c>
      <c r="I65" s="167"/>
      <c r="J65" s="160"/>
      <c r="K65" s="161" t="s">
        <v>0</v>
      </c>
      <c r="L65" s="160"/>
      <c r="M65" s="161" t="s">
        <v>0</v>
      </c>
      <c r="N65" s="160"/>
      <c r="O65" s="161" t="str">
        <f t="shared" si="9"/>
        <v>【No.記載で自動入力】</v>
      </c>
      <c r="P65" s="161" t="s">
        <v>626</v>
      </c>
      <c r="Q65" s="161" t="str">
        <f t="shared" si="10"/>
        <v>【No.記載で自動入力】</v>
      </c>
      <c r="R65" s="161" t="s">
        <v>0</v>
      </c>
      <c r="S65" s="161" t="str">
        <f t="shared" si="11"/>
        <v>【No.記載で自動入力】</v>
      </c>
      <c r="T65" s="160" t="s">
        <v>15</v>
      </c>
      <c r="U65" s="160" t="s">
        <v>15</v>
      </c>
      <c r="V65" s="160" t="s">
        <v>15</v>
      </c>
      <c r="W65" s="162"/>
      <c r="X65" s="162"/>
      <c r="Y65" s="163">
        <f t="shared" si="7"/>
        <v>0</v>
      </c>
      <c r="AA65" s="164" t="s">
        <v>134</v>
      </c>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row>
    <row r="66" spans="1:57" ht="19.5" customHeight="1">
      <c r="A66" s="166"/>
      <c r="B66" s="157" t="str">
        <f t="shared" si="8"/>
        <v>【No.記載で自動入力】</v>
      </c>
      <c r="C66" s="158"/>
      <c r="D66" s="158"/>
      <c r="E66" s="159" t="s">
        <v>15</v>
      </c>
      <c r="F66" s="159" t="s">
        <v>15</v>
      </c>
      <c r="G66" s="159" t="s">
        <v>15</v>
      </c>
      <c r="H66" s="148">
        <f t="shared" si="6"/>
        <v>0</v>
      </c>
      <c r="I66" s="167"/>
      <c r="J66" s="160"/>
      <c r="K66" s="161" t="s">
        <v>0</v>
      </c>
      <c r="L66" s="160"/>
      <c r="M66" s="161" t="s">
        <v>0</v>
      </c>
      <c r="N66" s="160"/>
      <c r="O66" s="161" t="str">
        <f t="shared" si="9"/>
        <v>【No.記載で自動入力】</v>
      </c>
      <c r="P66" s="161" t="s">
        <v>626</v>
      </c>
      <c r="Q66" s="161" t="str">
        <f t="shared" si="10"/>
        <v>【No.記載で自動入力】</v>
      </c>
      <c r="R66" s="161" t="s">
        <v>0</v>
      </c>
      <c r="S66" s="161" t="str">
        <f t="shared" si="11"/>
        <v>【No.記載で自動入力】</v>
      </c>
      <c r="T66" s="160" t="s">
        <v>15</v>
      </c>
      <c r="U66" s="160" t="s">
        <v>15</v>
      </c>
      <c r="V66" s="160" t="s">
        <v>15</v>
      </c>
      <c r="W66" s="162"/>
      <c r="X66" s="162"/>
      <c r="Y66" s="163">
        <f t="shared" si="7"/>
        <v>0</v>
      </c>
      <c r="AA66" s="164" t="s">
        <v>135</v>
      </c>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row>
    <row r="67" spans="1:57" ht="19.5" customHeight="1">
      <c r="A67" s="166"/>
      <c r="B67" s="157" t="str">
        <f t="shared" si="8"/>
        <v>【No.記載で自動入力】</v>
      </c>
      <c r="C67" s="158"/>
      <c r="D67" s="158"/>
      <c r="E67" s="159" t="s">
        <v>15</v>
      </c>
      <c r="F67" s="159" t="s">
        <v>15</v>
      </c>
      <c r="G67" s="159" t="s">
        <v>15</v>
      </c>
      <c r="H67" s="148">
        <f t="shared" si="6"/>
        <v>0</v>
      </c>
      <c r="I67" s="167"/>
      <c r="J67" s="160"/>
      <c r="K67" s="161" t="s">
        <v>0</v>
      </c>
      <c r="L67" s="160"/>
      <c r="M67" s="161" t="s">
        <v>0</v>
      </c>
      <c r="N67" s="160"/>
      <c r="O67" s="161" t="str">
        <f t="shared" si="9"/>
        <v>【No.記載で自動入力】</v>
      </c>
      <c r="P67" s="161" t="s">
        <v>626</v>
      </c>
      <c r="Q67" s="161" t="str">
        <f t="shared" si="10"/>
        <v>【No.記載で自動入力】</v>
      </c>
      <c r="R67" s="161" t="s">
        <v>0</v>
      </c>
      <c r="S67" s="161" t="str">
        <f t="shared" si="11"/>
        <v>【No.記載で自動入力】</v>
      </c>
      <c r="T67" s="160" t="s">
        <v>15</v>
      </c>
      <c r="U67" s="160" t="s">
        <v>15</v>
      </c>
      <c r="V67" s="160" t="s">
        <v>15</v>
      </c>
      <c r="W67" s="162"/>
      <c r="X67" s="162"/>
      <c r="Y67" s="163">
        <f t="shared" si="7"/>
        <v>0</v>
      </c>
      <c r="AA67" s="164" t="s">
        <v>136</v>
      </c>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row>
    <row r="68" spans="1:57" ht="19.5" customHeight="1">
      <c r="A68" s="166"/>
      <c r="B68" s="157" t="str">
        <f t="shared" si="8"/>
        <v>【No.記載で自動入力】</v>
      </c>
      <c r="C68" s="158"/>
      <c r="D68" s="158"/>
      <c r="E68" s="159" t="s">
        <v>15</v>
      </c>
      <c r="F68" s="159" t="s">
        <v>15</v>
      </c>
      <c r="G68" s="159" t="s">
        <v>15</v>
      </c>
      <c r="H68" s="148">
        <f t="shared" si="6"/>
        <v>0</v>
      </c>
      <c r="I68" s="167"/>
      <c r="J68" s="160"/>
      <c r="K68" s="161" t="s">
        <v>0</v>
      </c>
      <c r="L68" s="160"/>
      <c r="M68" s="161" t="s">
        <v>0</v>
      </c>
      <c r="N68" s="160"/>
      <c r="O68" s="161" t="str">
        <f t="shared" si="9"/>
        <v>【No.記載で自動入力】</v>
      </c>
      <c r="P68" s="161" t="s">
        <v>630</v>
      </c>
      <c r="Q68" s="161" t="str">
        <f t="shared" si="10"/>
        <v>【No.記載で自動入力】</v>
      </c>
      <c r="R68" s="161" t="s">
        <v>0</v>
      </c>
      <c r="S68" s="161" t="str">
        <f t="shared" si="11"/>
        <v>【No.記載で自動入力】</v>
      </c>
      <c r="T68" s="160" t="s">
        <v>15</v>
      </c>
      <c r="U68" s="160" t="s">
        <v>15</v>
      </c>
      <c r="V68" s="160" t="s">
        <v>15</v>
      </c>
      <c r="W68" s="162"/>
      <c r="X68" s="162"/>
      <c r="Y68" s="163">
        <f t="shared" si="7"/>
        <v>0</v>
      </c>
      <c r="AA68" s="164" t="s">
        <v>137</v>
      </c>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row>
    <row r="69" spans="1:57" ht="19.5" customHeight="1">
      <c r="A69" s="166"/>
      <c r="B69" s="157" t="str">
        <f t="shared" si="8"/>
        <v>【No.記載で自動入力】</v>
      </c>
      <c r="C69" s="158"/>
      <c r="D69" s="158"/>
      <c r="E69" s="159" t="s">
        <v>15</v>
      </c>
      <c r="F69" s="159" t="s">
        <v>15</v>
      </c>
      <c r="G69" s="159" t="s">
        <v>15</v>
      </c>
      <c r="H69" s="148">
        <f t="shared" si="6"/>
        <v>0</v>
      </c>
      <c r="I69" s="167"/>
      <c r="J69" s="160"/>
      <c r="K69" s="161" t="s">
        <v>0</v>
      </c>
      <c r="L69" s="160"/>
      <c r="M69" s="161" t="s">
        <v>0</v>
      </c>
      <c r="N69" s="160"/>
      <c r="O69" s="161" t="str">
        <f t="shared" si="9"/>
        <v>【No.記載で自動入力】</v>
      </c>
      <c r="P69" s="161" t="s">
        <v>626</v>
      </c>
      <c r="Q69" s="161" t="str">
        <f t="shared" si="10"/>
        <v>【No.記載で自動入力】</v>
      </c>
      <c r="R69" s="161" t="s">
        <v>0</v>
      </c>
      <c r="S69" s="161" t="str">
        <f t="shared" si="11"/>
        <v>【No.記載で自動入力】</v>
      </c>
      <c r="T69" s="160" t="s">
        <v>15</v>
      </c>
      <c r="U69" s="160" t="s">
        <v>15</v>
      </c>
      <c r="V69" s="160" t="s">
        <v>15</v>
      </c>
      <c r="W69" s="162"/>
      <c r="X69" s="162"/>
      <c r="Y69" s="163">
        <f t="shared" si="7"/>
        <v>0</v>
      </c>
      <c r="AA69" s="164" t="s">
        <v>138</v>
      </c>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row>
    <row r="70" spans="1:57" ht="19.5" customHeight="1">
      <c r="A70" s="166"/>
      <c r="B70" s="157" t="str">
        <f t="shared" si="8"/>
        <v>【No.記載で自動入力】</v>
      </c>
      <c r="C70" s="158"/>
      <c r="D70" s="158"/>
      <c r="E70" s="159" t="s">
        <v>15</v>
      </c>
      <c r="F70" s="159" t="s">
        <v>15</v>
      </c>
      <c r="G70" s="159" t="s">
        <v>15</v>
      </c>
      <c r="H70" s="148">
        <f t="shared" si="6"/>
        <v>0</v>
      </c>
      <c r="I70" s="167"/>
      <c r="J70" s="160"/>
      <c r="K70" s="161" t="s">
        <v>0</v>
      </c>
      <c r="L70" s="160"/>
      <c r="M70" s="161" t="s">
        <v>0</v>
      </c>
      <c r="N70" s="160"/>
      <c r="O70" s="161" t="str">
        <f t="shared" si="9"/>
        <v>【No.記載で自動入力】</v>
      </c>
      <c r="P70" s="161" t="s">
        <v>626</v>
      </c>
      <c r="Q70" s="161" t="str">
        <f t="shared" si="10"/>
        <v>【No.記載で自動入力】</v>
      </c>
      <c r="R70" s="161" t="s">
        <v>0</v>
      </c>
      <c r="S70" s="161" t="str">
        <f t="shared" si="11"/>
        <v>【No.記載で自動入力】</v>
      </c>
      <c r="T70" s="160" t="s">
        <v>15</v>
      </c>
      <c r="U70" s="160" t="s">
        <v>15</v>
      </c>
      <c r="V70" s="160" t="s">
        <v>15</v>
      </c>
      <c r="W70" s="162"/>
      <c r="X70" s="162"/>
      <c r="Y70" s="163">
        <f t="shared" si="7"/>
        <v>0</v>
      </c>
      <c r="AA70" s="164" t="s">
        <v>139</v>
      </c>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row>
    <row r="71" spans="1:57" ht="19.5" customHeight="1">
      <c r="A71" s="166"/>
      <c r="B71" s="157" t="str">
        <f t="shared" si="8"/>
        <v>【No.記載で自動入力】</v>
      </c>
      <c r="C71" s="158"/>
      <c r="D71" s="158"/>
      <c r="E71" s="159" t="s">
        <v>15</v>
      </c>
      <c r="F71" s="159" t="s">
        <v>15</v>
      </c>
      <c r="G71" s="159" t="s">
        <v>15</v>
      </c>
      <c r="H71" s="148">
        <f t="shared" si="6"/>
        <v>0</v>
      </c>
      <c r="I71" s="167"/>
      <c r="J71" s="160"/>
      <c r="K71" s="161" t="s">
        <v>0</v>
      </c>
      <c r="L71" s="160"/>
      <c r="M71" s="161" t="s">
        <v>0</v>
      </c>
      <c r="N71" s="160"/>
      <c r="O71" s="161" t="str">
        <f t="shared" si="9"/>
        <v>【No.記載で自動入力】</v>
      </c>
      <c r="P71" s="161" t="s">
        <v>626</v>
      </c>
      <c r="Q71" s="161" t="str">
        <f t="shared" si="10"/>
        <v>【No.記載で自動入力】</v>
      </c>
      <c r="R71" s="161" t="s">
        <v>0</v>
      </c>
      <c r="S71" s="161" t="str">
        <f t="shared" si="11"/>
        <v>【No.記載で自動入力】</v>
      </c>
      <c r="T71" s="160" t="s">
        <v>15</v>
      </c>
      <c r="U71" s="160" t="s">
        <v>15</v>
      </c>
      <c r="V71" s="160" t="s">
        <v>15</v>
      </c>
      <c r="W71" s="162"/>
      <c r="X71" s="162"/>
      <c r="Y71" s="163">
        <f t="shared" si="7"/>
        <v>0</v>
      </c>
      <c r="AA71" s="164" t="s">
        <v>140</v>
      </c>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row>
    <row r="72" spans="1:57" ht="19.5" customHeight="1">
      <c r="A72" s="166"/>
      <c r="B72" s="157" t="str">
        <f t="shared" si="8"/>
        <v>【No.記載で自動入力】</v>
      </c>
      <c r="C72" s="158"/>
      <c r="D72" s="158"/>
      <c r="E72" s="159" t="s">
        <v>15</v>
      </c>
      <c r="F72" s="159" t="s">
        <v>15</v>
      </c>
      <c r="G72" s="159" t="s">
        <v>15</v>
      </c>
      <c r="H72" s="148">
        <f t="shared" si="6"/>
        <v>0</v>
      </c>
      <c r="I72" s="167"/>
      <c r="J72" s="160"/>
      <c r="K72" s="161" t="s">
        <v>0</v>
      </c>
      <c r="L72" s="160"/>
      <c r="M72" s="161" t="s">
        <v>0</v>
      </c>
      <c r="N72" s="160"/>
      <c r="O72" s="161" t="str">
        <f t="shared" si="9"/>
        <v>【No.記載で自動入力】</v>
      </c>
      <c r="P72" s="161" t="s">
        <v>626</v>
      </c>
      <c r="Q72" s="161" t="str">
        <f t="shared" si="10"/>
        <v>【No.記載で自動入力】</v>
      </c>
      <c r="R72" s="161" t="s">
        <v>0</v>
      </c>
      <c r="S72" s="161" t="str">
        <f t="shared" si="11"/>
        <v>【No.記載で自動入力】</v>
      </c>
      <c r="T72" s="160" t="s">
        <v>15</v>
      </c>
      <c r="U72" s="160" t="s">
        <v>15</v>
      </c>
      <c r="V72" s="160" t="s">
        <v>15</v>
      </c>
      <c r="W72" s="162"/>
      <c r="X72" s="162"/>
      <c r="Y72" s="163">
        <f t="shared" si="7"/>
        <v>0</v>
      </c>
      <c r="AA72" s="164" t="s">
        <v>141</v>
      </c>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row>
    <row r="73" spans="1:57" ht="19.5" customHeight="1">
      <c r="A73" s="166"/>
      <c r="B73" s="157" t="str">
        <f t="shared" ref="B73:B104" si="12">IFERROR(IF(HLOOKUP(A73,$7:$8,MATCH("キーワードNo.／カテゴリ名",$AA$7:$AA$8,0),FALSE)="","",HLOOKUP(A73,$7:$8,MATCH("キーワードNo.／カテゴリ名",$AA$7:$AA$8,0),FALSE)),"【No.記載で自動入力】")</f>
        <v>【No.記載で自動入力】</v>
      </c>
      <c r="C73" s="158"/>
      <c r="D73" s="158"/>
      <c r="E73" s="159" t="s">
        <v>15</v>
      </c>
      <c r="F73" s="159" t="s">
        <v>15</v>
      </c>
      <c r="G73" s="159" t="s">
        <v>15</v>
      </c>
      <c r="H73" s="148">
        <f t="shared" si="6"/>
        <v>0</v>
      </c>
      <c r="I73" s="167"/>
      <c r="J73" s="160"/>
      <c r="K73" s="161" t="s">
        <v>0</v>
      </c>
      <c r="L73" s="160"/>
      <c r="M73" s="161" t="s">
        <v>0</v>
      </c>
      <c r="N73" s="160"/>
      <c r="O73" s="161" t="str">
        <f t="shared" ref="O73:O108" si="13">IFERROR(IF(HLOOKUP(J73,$7:$8,MATCH("キーワードNo.／カテゴリ名",$AA$7:$AA$8,0),FALSE)="","",HLOOKUP(J73,$7:$8,MATCH("キーワードNo.／カテゴリ名",$AA$7:$AA$8,0),FALSE)),"【No.記載で自動入力】")</f>
        <v>【No.記載で自動入力】</v>
      </c>
      <c r="P73" s="161" t="s">
        <v>626</v>
      </c>
      <c r="Q73" s="161" t="str">
        <f t="shared" ref="Q73:Q108" si="14">IFERROR(IF(HLOOKUP(L73,$7:$8,MATCH("キーワードNo.／カテゴリ名",$AA$7:$AA$8,0),FALSE)="","",HLOOKUP(L73,$7:$8,MATCH("キーワードNo.／カテゴリ名",$AA$7:$AA$8,0),FALSE)),"【No.記載で自動入力】")</f>
        <v>【No.記載で自動入力】</v>
      </c>
      <c r="R73" s="161" t="s">
        <v>0</v>
      </c>
      <c r="S73" s="161" t="str">
        <f t="shared" ref="S73:S108" si="15">IFERROR(IF(HLOOKUP(N73,$7:$8,MATCH("キーワードNo.／カテゴリ名",$AA$7:$AA$8,0),FALSE)="","",HLOOKUP(N73,$7:$8,MATCH("キーワードNo.／カテゴリ名",$AA$7:$AA$8,0),FALSE)),"【No.記載で自動入力】")</f>
        <v>【No.記載で自動入力】</v>
      </c>
      <c r="T73" s="160" t="s">
        <v>15</v>
      </c>
      <c r="U73" s="160" t="s">
        <v>15</v>
      </c>
      <c r="V73" s="160" t="s">
        <v>15</v>
      </c>
      <c r="W73" s="162"/>
      <c r="X73" s="162"/>
      <c r="Y73" s="163">
        <f t="shared" si="7"/>
        <v>0</v>
      </c>
      <c r="AA73" s="164" t="s">
        <v>142</v>
      </c>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row>
    <row r="74" spans="1:57" ht="19.5" customHeight="1">
      <c r="A74" s="166"/>
      <c r="B74" s="157" t="str">
        <f t="shared" si="12"/>
        <v>【No.記載で自動入力】</v>
      </c>
      <c r="C74" s="158"/>
      <c r="D74" s="158"/>
      <c r="E74" s="159" t="s">
        <v>15</v>
      </c>
      <c r="F74" s="159" t="s">
        <v>15</v>
      </c>
      <c r="G74" s="159" t="s">
        <v>15</v>
      </c>
      <c r="H74" s="148">
        <f t="shared" ref="H74:H108" si="16">IF($A74="",0,HLOOKUP($A74,$AB$5:$BE$6,2,0)*COUNTIF($E74:$G74,"●"))</f>
        <v>0</v>
      </c>
      <c r="I74" s="167"/>
      <c r="J74" s="160"/>
      <c r="K74" s="161" t="s">
        <v>0</v>
      </c>
      <c r="L74" s="160"/>
      <c r="M74" s="161" t="s">
        <v>0</v>
      </c>
      <c r="N74" s="160"/>
      <c r="O74" s="161" t="str">
        <f t="shared" si="13"/>
        <v>【No.記載で自動入力】</v>
      </c>
      <c r="P74" s="161" t="s">
        <v>626</v>
      </c>
      <c r="Q74" s="161" t="str">
        <f t="shared" si="14"/>
        <v>【No.記載で自動入力】</v>
      </c>
      <c r="R74" s="161" t="s">
        <v>0</v>
      </c>
      <c r="S74" s="161" t="str">
        <f t="shared" si="15"/>
        <v>【No.記載で自動入力】</v>
      </c>
      <c r="T74" s="160" t="s">
        <v>15</v>
      </c>
      <c r="U74" s="160" t="s">
        <v>15</v>
      </c>
      <c r="V74" s="160" t="s">
        <v>15</v>
      </c>
      <c r="W74" s="162"/>
      <c r="X74" s="162"/>
      <c r="Y74" s="163">
        <f t="shared" ref="Y74:Y108" si="17">IF($J74="",0,IF($N74="",HLOOKUP($J74,$AB$5:$BE$6,2,0)*HLOOKUP($L74,$AB$5:$BE$6,2,0)*COUNTIF($T74:$V74,"●"),HLOOKUP($J74,$AB$5:$BE$6,2,0)*HLOOKUP($L74,$AB$5:$BE$6,2,0)*HLOOKUP($N74,$AB$5:$BE$6,2,0)*COUNTIF($T74:$V74,"●")))</f>
        <v>0</v>
      </c>
      <c r="AA74" s="164" t="s">
        <v>143</v>
      </c>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row>
    <row r="75" spans="1:57" ht="19.5" customHeight="1">
      <c r="A75" s="166"/>
      <c r="B75" s="157" t="str">
        <f t="shared" si="12"/>
        <v>【No.記載で自動入力】</v>
      </c>
      <c r="C75" s="158"/>
      <c r="D75" s="158"/>
      <c r="E75" s="159" t="s">
        <v>15</v>
      </c>
      <c r="F75" s="159" t="s">
        <v>15</v>
      </c>
      <c r="G75" s="159" t="s">
        <v>15</v>
      </c>
      <c r="H75" s="148">
        <f t="shared" si="16"/>
        <v>0</v>
      </c>
      <c r="I75" s="167"/>
      <c r="J75" s="160"/>
      <c r="K75" s="161" t="s">
        <v>0</v>
      </c>
      <c r="L75" s="160"/>
      <c r="M75" s="161" t="s">
        <v>0</v>
      </c>
      <c r="N75" s="160"/>
      <c r="O75" s="161" t="str">
        <f t="shared" si="13"/>
        <v>【No.記載で自動入力】</v>
      </c>
      <c r="P75" s="161" t="s">
        <v>629</v>
      </c>
      <c r="Q75" s="161" t="str">
        <f t="shared" si="14"/>
        <v>【No.記載で自動入力】</v>
      </c>
      <c r="R75" s="161" t="s">
        <v>0</v>
      </c>
      <c r="S75" s="161" t="str">
        <f t="shared" si="15"/>
        <v>【No.記載で自動入力】</v>
      </c>
      <c r="T75" s="160" t="s">
        <v>15</v>
      </c>
      <c r="U75" s="160" t="s">
        <v>15</v>
      </c>
      <c r="V75" s="160" t="s">
        <v>15</v>
      </c>
      <c r="W75" s="162"/>
      <c r="X75" s="162"/>
      <c r="Y75" s="163">
        <f t="shared" si="17"/>
        <v>0</v>
      </c>
      <c r="AA75" s="164" t="s">
        <v>144</v>
      </c>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row>
    <row r="76" spans="1:57" ht="19.5" customHeight="1">
      <c r="A76" s="166"/>
      <c r="B76" s="157" t="str">
        <f t="shared" si="12"/>
        <v>【No.記載で自動入力】</v>
      </c>
      <c r="C76" s="158"/>
      <c r="D76" s="158"/>
      <c r="E76" s="159" t="s">
        <v>15</v>
      </c>
      <c r="F76" s="159" t="s">
        <v>15</v>
      </c>
      <c r="G76" s="159" t="s">
        <v>15</v>
      </c>
      <c r="H76" s="148">
        <f t="shared" si="16"/>
        <v>0</v>
      </c>
      <c r="I76" s="167"/>
      <c r="J76" s="160"/>
      <c r="K76" s="161" t="s">
        <v>0</v>
      </c>
      <c r="L76" s="160"/>
      <c r="M76" s="161" t="s">
        <v>0</v>
      </c>
      <c r="N76" s="160"/>
      <c r="O76" s="161" t="str">
        <f t="shared" si="13"/>
        <v>【No.記載で自動入力】</v>
      </c>
      <c r="P76" s="161" t="s">
        <v>629</v>
      </c>
      <c r="Q76" s="161" t="str">
        <f t="shared" si="14"/>
        <v>【No.記載で自動入力】</v>
      </c>
      <c r="R76" s="161" t="s">
        <v>0</v>
      </c>
      <c r="S76" s="161" t="str">
        <f t="shared" si="15"/>
        <v>【No.記載で自動入力】</v>
      </c>
      <c r="T76" s="160" t="s">
        <v>15</v>
      </c>
      <c r="U76" s="160" t="s">
        <v>15</v>
      </c>
      <c r="V76" s="160" t="s">
        <v>15</v>
      </c>
      <c r="W76" s="162"/>
      <c r="X76" s="162"/>
      <c r="Y76" s="163">
        <f t="shared" si="17"/>
        <v>0</v>
      </c>
      <c r="AA76" s="164" t="s">
        <v>145</v>
      </c>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row>
    <row r="77" spans="1:57" ht="19.5" customHeight="1">
      <c r="A77" s="166"/>
      <c r="B77" s="157" t="str">
        <f t="shared" si="12"/>
        <v>【No.記載で自動入力】</v>
      </c>
      <c r="C77" s="158"/>
      <c r="D77" s="158"/>
      <c r="E77" s="159" t="s">
        <v>15</v>
      </c>
      <c r="F77" s="159" t="s">
        <v>15</v>
      </c>
      <c r="G77" s="159" t="s">
        <v>15</v>
      </c>
      <c r="H77" s="148">
        <f t="shared" si="16"/>
        <v>0</v>
      </c>
      <c r="I77" s="167"/>
      <c r="J77" s="160"/>
      <c r="K77" s="161" t="s">
        <v>0</v>
      </c>
      <c r="L77" s="160"/>
      <c r="M77" s="161" t="s">
        <v>0</v>
      </c>
      <c r="N77" s="160"/>
      <c r="O77" s="161" t="str">
        <f t="shared" si="13"/>
        <v>【No.記載で自動入力】</v>
      </c>
      <c r="P77" s="161" t="s">
        <v>630</v>
      </c>
      <c r="Q77" s="161" t="str">
        <f t="shared" si="14"/>
        <v>【No.記載で自動入力】</v>
      </c>
      <c r="R77" s="161" t="s">
        <v>0</v>
      </c>
      <c r="S77" s="161" t="str">
        <f t="shared" si="15"/>
        <v>【No.記載で自動入力】</v>
      </c>
      <c r="T77" s="160" t="s">
        <v>15</v>
      </c>
      <c r="U77" s="160" t="s">
        <v>15</v>
      </c>
      <c r="V77" s="160" t="s">
        <v>15</v>
      </c>
      <c r="W77" s="162"/>
      <c r="X77" s="162"/>
      <c r="Y77" s="163">
        <f t="shared" si="17"/>
        <v>0</v>
      </c>
      <c r="AA77" s="164" t="s">
        <v>146</v>
      </c>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row>
    <row r="78" spans="1:57" ht="19.5" customHeight="1">
      <c r="A78" s="166"/>
      <c r="B78" s="157" t="str">
        <f t="shared" si="12"/>
        <v>【No.記載で自動入力】</v>
      </c>
      <c r="C78" s="158"/>
      <c r="D78" s="158"/>
      <c r="E78" s="159" t="s">
        <v>15</v>
      </c>
      <c r="F78" s="159" t="s">
        <v>15</v>
      </c>
      <c r="G78" s="159" t="s">
        <v>15</v>
      </c>
      <c r="H78" s="148">
        <f t="shared" si="16"/>
        <v>0</v>
      </c>
      <c r="I78" s="167"/>
      <c r="J78" s="160"/>
      <c r="K78" s="161" t="s">
        <v>0</v>
      </c>
      <c r="L78" s="160"/>
      <c r="M78" s="161" t="s">
        <v>0</v>
      </c>
      <c r="N78" s="160"/>
      <c r="O78" s="161" t="str">
        <f t="shared" si="13"/>
        <v>【No.記載で自動入力】</v>
      </c>
      <c r="P78" s="161" t="s">
        <v>630</v>
      </c>
      <c r="Q78" s="161" t="str">
        <f t="shared" si="14"/>
        <v>【No.記載で自動入力】</v>
      </c>
      <c r="R78" s="161" t="s">
        <v>0</v>
      </c>
      <c r="S78" s="161" t="str">
        <f t="shared" si="15"/>
        <v>【No.記載で自動入力】</v>
      </c>
      <c r="T78" s="160" t="s">
        <v>15</v>
      </c>
      <c r="U78" s="160" t="s">
        <v>15</v>
      </c>
      <c r="V78" s="160" t="s">
        <v>15</v>
      </c>
      <c r="W78" s="162"/>
      <c r="X78" s="162"/>
      <c r="Y78" s="163">
        <f t="shared" si="17"/>
        <v>0</v>
      </c>
      <c r="AA78" s="164" t="s">
        <v>147</v>
      </c>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row>
    <row r="79" spans="1:57" ht="19.5" customHeight="1">
      <c r="A79" s="166"/>
      <c r="B79" s="157" t="str">
        <f t="shared" si="12"/>
        <v>【No.記載で自動入力】</v>
      </c>
      <c r="C79" s="158"/>
      <c r="D79" s="158"/>
      <c r="E79" s="159" t="s">
        <v>15</v>
      </c>
      <c r="F79" s="159" t="s">
        <v>15</v>
      </c>
      <c r="G79" s="159" t="s">
        <v>15</v>
      </c>
      <c r="H79" s="148">
        <f t="shared" si="16"/>
        <v>0</v>
      </c>
      <c r="I79" s="167"/>
      <c r="J79" s="160"/>
      <c r="K79" s="161" t="s">
        <v>0</v>
      </c>
      <c r="L79" s="160"/>
      <c r="M79" s="161" t="s">
        <v>0</v>
      </c>
      <c r="N79" s="160"/>
      <c r="O79" s="161" t="str">
        <f t="shared" si="13"/>
        <v>【No.記載で自動入力】</v>
      </c>
      <c r="P79" s="161" t="s">
        <v>626</v>
      </c>
      <c r="Q79" s="161" t="str">
        <f t="shared" si="14"/>
        <v>【No.記載で自動入力】</v>
      </c>
      <c r="R79" s="161" t="s">
        <v>0</v>
      </c>
      <c r="S79" s="161" t="str">
        <f t="shared" si="15"/>
        <v>【No.記載で自動入力】</v>
      </c>
      <c r="T79" s="160" t="s">
        <v>15</v>
      </c>
      <c r="U79" s="160" t="s">
        <v>15</v>
      </c>
      <c r="V79" s="160" t="s">
        <v>15</v>
      </c>
      <c r="W79" s="162"/>
      <c r="X79" s="162"/>
      <c r="Y79" s="163">
        <f t="shared" si="17"/>
        <v>0</v>
      </c>
      <c r="AA79" s="164" t="s">
        <v>148</v>
      </c>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row>
    <row r="80" spans="1:57" ht="19.5" customHeight="1">
      <c r="A80" s="166"/>
      <c r="B80" s="157" t="str">
        <f t="shared" si="12"/>
        <v>【No.記載で自動入力】</v>
      </c>
      <c r="C80" s="158"/>
      <c r="D80" s="158"/>
      <c r="E80" s="159" t="s">
        <v>15</v>
      </c>
      <c r="F80" s="159" t="s">
        <v>15</v>
      </c>
      <c r="G80" s="159" t="s">
        <v>15</v>
      </c>
      <c r="H80" s="148">
        <f t="shared" si="16"/>
        <v>0</v>
      </c>
      <c r="I80" s="167"/>
      <c r="J80" s="160"/>
      <c r="K80" s="161" t="s">
        <v>0</v>
      </c>
      <c r="L80" s="160"/>
      <c r="M80" s="161" t="s">
        <v>0</v>
      </c>
      <c r="N80" s="160"/>
      <c r="O80" s="161" t="str">
        <f t="shared" si="13"/>
        <v>【No.記載で自動入力】</v>
      </c>
      <c r="P80" s="161" t="s">
        <v>626</v>
      </c>
      <c r="Q80" s="161" t="str">
        <f t="shared" si="14"/>
        <v>【No.記載で自動入力】</v>
      </c>
      <c r="R80" s="161" t="s">
        <v>0</v>
      </c>
      <c r="S80" s="161" t="str">
        <f t="shared" si="15"/>
        <v>【No.記載で自動入力】</v>
      </c>
      <c r="T80" s="160" t="s">
        <v>15</v>
      </c>
      <c r="U80" s="160" t="s">
        <v>15</v>
      </c>
      <c r="V80" s="160" t="s">
        <v>15</v>
      </c>
      <c r="W80" s="162"/>
      <c r="X80" s="162"/>
      <c r="Y80" s="163">
        <f t="shared" si="17"/>
        <v>0</v>
      </c>
      <c r="AA80" s="164" t="s">
        <v>149</v>
      </c>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row>
    <row r="81" spans="1:57" ht="19.5" customHeight="1">
      <c r="A81" s="166"/>
      <c r="B81" s="157" t="str">
        <f t="shared" si="12"/>
        <v>【No.記載で自動入力】</v>
      </c>
      <c r="C81" s="158"/>
      <c r="D81" s="158"/>
      <c r="E81" s="159" t="s">
        <v>15</v>
      </c>
      <c r="F81" s="159" t="s">
        <v>15</v>
      </c>
      <c r="G81" s="159" t="s">
        <v>15</v>
      </c>
      <c r="H81" s="148">
        <f t="shared" si="16"/>
        <v>0</v>
      </c>
      <c r="I81" s="167"/>
      <c r="J81" s="160"/>
      <c r="K81" s="161" t="s">
        <v>0</v>
      </c>
      <c r="L81" s="160"/>
      <c r="M81" s="161" t="s">
        <v>0</v>
      </c>
      <c r="N81" s="160"/>
      <c r="O81" s="161" t="str">
        <f t="shared" si="13"/>
        <v>【No.記載で自動入力】</v>
      </c>
      <c r="P81" s="161" t="s">
        <v>629</v>
      </c>
      <c r="Q81" s="161" t="str">
        <f t="shared" si="14"/>
        <v>【No.記載で自動入力】</v>
      </c>
      <c r="R81" s="161" t="s">
        <v>0</v>
      </c>
      <c r="S81" s="161" t="str">
        <f t="shared" si="15"/>
        <v>【No.記載で自動入力】</v>
      </c>
      <c r="T81" s="160" t="s">
        <v>15</v>
      </c>
      <c r="U81" s="160" t="s">
        <v>15</v>
      </c>
      <c r="V81" s="160" t="s">
        <v>15</v>
      </c>
      <c r="W81" s="162"/>
      <c r="X81" s="162"/>
      <c r="Y81" s="163">
        <f t="shared" si="17"/>
        <v>0</v>
      </c>
      <c r="AA81" s="164" t="s">
        <v>150</v>
      </c>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row>
    <row r="82" spans="1:57" ht="19.5" customHeight="1">
      <c r="A82" s="166"/>
      <c r="B82" s="157" t="str">
        <f t="shared" si="12"/>
        <v>【No.記載で自動入力】</v>
      </c>
      <c r="C82" s="158"/>
      <c r="D82" s="158"/>
      <c r="E82" s="159" t="s">
        <v>15</v>
      </c>
      <c r="F82" s="159" t="s">
        <v>15</v>
      </c>
      <c r="G82" s="159" t="s">
        <v>15</v>
      </c>
      <c r="H82" s="148">
        <f t="shared" si="16"/>
        <v>0</v>
      </c>
      <c r="I82" s="167"/>
      <c r="J82" s="160"/>
      <c r="K82" s="161" t="s">
        <v>0</v>
      </c>
      <c r="L82" s="160"/>
      <c r="M82" s="161" t="s">
        <v>0</v>
      </c>
      <c r="N82" s="160"/>
      <c r="O82" s="161" t="str">
        <f t="shared" si="13"/>
        <v>【No.記載で自動入力】</v>
      </c>
      <c r="P82" s="161" t="s">
        <v>630</v>
      </c>
      <c r="Q82" s="161" t="str">
        <f t="shared" si="14"/>
        <v>【No.記載で自動入力】</v>
      </c>
      <c r="R82" s="161" t="s">
        <v>0</v>
      </c>
      <c r="S82" s="161" t="str">
        <f t="shared" si="15"/>
        <v>【No.記載で自動入力】</v>
      </c>
      <c r="T82" s="160" t="s">
        <v>15</v>
      </c>
      <c r="U82" s="160" t="s">
        <v>15</v>
      </c>
      <c r="V82" s="160" t="s">
        <v>15</v>
      </c>
      <c r="W82" s="162"/>
      <c r="X82" s="162"/>
      <c r="Y82" s="163">
        <f t="shared" si="17"/>
        <v>0</v>
      </c>
      <c r="AA82" s="164" t="s">
        <v>151</v>
      </c>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row>
    <row r="83" spans="1:57" ht="19.5" customHeight="1">
      <c r="A83" s="166"/>
      <c r="B83" s="157" t="str">
        <f t="shared" si="12"/>
        <v>【No.記載で自動入力】</v>
      </c>
      <c r="C83" s="158"/>
      <c r="D83" s="158"/>
      <c r="E83" s="159" t="s">
        <v>15</v>
      </c>
      <c r="F83" s="159" t="s">
        <v>15</v>
      </c>
      <c r="G83" s="159" t="s">
        <v>15</v>
      </c>
      <c r="H83" s="148">
        <f t="shared" si="16"/>
        <v>0</v>
      </c>
      <c r="I83" s="167"/>
      <c r="J83" s="160"/>
      <c r="K83" s="161" t="s">
        <v>0</v>
      </c>
      <c r="L83" s="160"/>
      <c r="M83" s="161" t="s">
        <v>0</v>
      </c>
      <c r="N83" s="160"/>
      <c r="O83" s="161" t="str">
        <f t="shared" si="13"/>
        <v>【No.記載で自動入力】</v>
      </c>
      <c r="P83" s="161" t="s">
        <v>626</v>
      </c>
      <c r="Q83" s="161" t="str">
        <f t="shared" si="14"/>
        <v>【No.記載で自動入力】</v>
      </c>
      <c r="R83" s="161" t="s">
        <v>0</v>
      </c>
      <c r="S83" s="161" t="str">
        <f t="shared" si="15"/>
        <v>【No.記載で自動入力】</v>
      </c>
      <c r="T83" s="160" t="s">
        <v>15</v>
      </c>
      <c r="U83" s="160" t="s">
        <v>15</v>
      </c>
      <c r="V83" s="160" t="s">
        <v>15</v>
      </c>
      <c r="W83" s="162"/>
      <c r="X83" s="162"/>
      <c r="Y83" s="163">
        <f t="shared" si="17"/>
        <v>0</v>
      </c>
      <c r="AA83" s="164" t="s">
        <v>152</v>
      </c>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row>
    <row r="84" spans="1:57" ht="19.5" customHeight="1">
      <c r="A84" s="166"/>
      <c r="B84" s="157" t="str">
        <f t="shared" si="12"/>
        <v>【No.記載で自動入力】</v>
      </c>
      <c r="C84" s="158"/>
      <c r="D84" s="158"/>
      <c r="E84" s="159" t="s">
        <v>15</v>
      </c>
      <c r="F84" s="159" t="s">
        <v>15</v>
      </c>
      <c r="G84" s="159" t="s">
        <v>15</v>
      </c>
      <c r="H84" s="148">
        <f t="shared" si="16"/>
        <v>0</v>
      </c>
      <c r="I84" s="167"/>
      <c r="J84" s="160"/>
      <c r="K84" s="161" t="s">
        <v>0</v>
      </c>
      <c r="L84" s="160"/>
      <c r="M84" s="161" t="s">
        <v>0</v>
      </c>
      <c r="N84" s="160"/>
      <c r="O84" s="161" t="str">
        <f t="shared" si="13"/>
        <v>【No.記載で自動入力】</v>
      </c>
      <c r="P84" s="161" t="s">
        <v>629</v>
      </c>
      <c r="Q84" s="161" t="str">
        <f t="shared" si="14"/>
        <v>【No.記載で自動入力】</v>
      </c>
      <c r="R84" s="161" t="s">
        <v>0</v>
      </c>
      <c r="S84" s="161" t="str">
        <f t="shared" si="15"/>
        <v>【No.記載で自動入力】</v>
      </c>
      <c r="T84" s="160" t="s">
        <v>15</v>
      </c>
      <c r="U84" s="160" t="s">
        <v>15</v>
      </c>
      <c r="V84" s="160" t="s">
        <v>15</v>
      </c>
      <c r="W84" s="162"/>
      <c r="X84" s="162"/>
      <c r="Y84" s="163">
        <f t="shared" si="17"/>
        <v>0</v>
      </c>
      <c r="AA84" s="164" t="s">
        <v>153</v>
      </c>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row>
    <row r="85" spans="1:57" ht="19.5" customHeight="1">
      <c r="A85" s="166"/>
      <c r="B85" s="157" t="str">
        <f t="shared" si="12"/>
        <v>【No.記載で自動入力】</v>
      </c>
      <c r="C85" s="158"/>
      <c r="D85" s="158"/>
      <c r="E85" s="159" t="s">
        <v>15</v>
      </c>
      <c r="F85" s="159" t="s">
        <v>15</v>
      </c>
      <c r="G85" s="159" t="s">
        <v>15</v>
      </c>
      <c r="H85" s="148">
        <f t="shared" si="16"/>
        <v>0</v>
      </c>
      <c r="I85" s="167"/>
      <c r="J85" s="160"/>
      <c r="K85" s="161" t="s">
        <v>0</v>
      </c>
      <c r="L85" s="160"/>
      <c r="M85" s="161" t="s">
        <v>0</v>
      </c>
      <c r="N85" s="160"/>
      <c r="O85" s="161" t="str">
        <f t="shared" si="13"/>
        <v>【No.記載で自動入力】</v>
      </c>
      <c r="P85" s="161" t="s">
        <v>626</v>
      </c>
      <c r="Q85" s="161" t="str">
        <f t="shared" si="14"/>
        <v>【No.記載で自動入力】</v>
      </c>
      <c r="R85" s="161" t="s">
        <v>0</v>
      </c>
      <c r="S85" s="161" t="str">
        <f t="shared" si="15"/>
        <v>【No.記載で自動入力】</v>
      </c>
      <c r="T85" s="160" t="s">
        <v>15</v>
      </c>
      <c r="U85" s="160" t="s">
        <v>15</v>
      </c>
      <c r="V85" s="160" t="s">
        <v>15</v>
      </c>
      <c r="W85" s="162"/>
      <c r="X85" s="162"/>
      <c r="Y85" s="163">
        <f t="shared" si="17"/>
        <v>0</v>
      </c>
      <c r="AA85" s="164" t="s">
        <v>154</v>
      </c>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row>
    <row r="86" spans="1:57" ht="19.5" customHeight="1">
      <c r="A86" s="166"/>
      <c r="B86" s="157" t="str">
        <f t="shared" si="12"/>
        <v>【No.記載で自動入力】</v>
      </c>
      <c r="C86" s="158"/>
      <c r="D86" s="158"/>
      <c r="E86" s="159" t="s">
        <v>15</v>
      </c>
      <c r="F86" s="159" t="s">
        <v>15</v>
      </c>
      <c r="G86" s="159" t="s">
        <v>15</v>
      </c>
      <c r="H86" s="148">
        <f t="shared" si="16"/>
        <v>0</v>
      </c>
      <c r="I86" s="167"/>
      <c r="J86" s="160"/>
      <c r="K86" s="161" t="s">
        <v>0</v>
      </c>
      <c r="L86" s="160"/>
      <c r="M86" s="161" t="s">
        <v>0</v>
      </c>
      <c r="N86" s="160"/>
      <c r="O86" s="161" t="str">
        <f t="shared" si="13"/>
        <v>【No.記載で自動入力】</v>
      </c>
      <c r="P86" s="161" t="s">
        <v>626</v>
      </c>
      <c r="Q86" s="161" t="str">
        <f t="shared" si="14"/>
        <v>【No.記載で自動入力】</v>
      </c>
      <c r="R86" s="161" t="s">
        <v>0</v>
      </c>
      <c r="S86" s="161" t="str">
        <f t="shared" si="15"/>
        <v>【No.記載で自動入力】</v>
      </c>
      <c r="T86" s="160" t="s">
        <v>15</v>
      </c>
      <c r="U86" s="160" t="s">
        <v>15</v>
      </c>
      <c r="V86" s="160" t="s">
        <v>15</v>
      </c>
      <c r="W86" s="162"/>
      <c r="X86" s="162"/>
      <c r="Y86" s="163">
        <f t="shared" si="17"/>
        <v>0</v>
      </c>
      <c r="AA86" s="164" t="s">
        <v>155</v>
      </c>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row>
    <row r="87" spans="1:57" ht="19.5" customHeight="1">
      <c r="A87" s="166"/>
      <c r="B87" s="157" t="str">
        <f t="shared" si="12"/>
        <v>【No.記載で自動入力】</v>
      </c>
      <c r="C87" s="158"/>
      <c r="D87" s="158"/>
      <c r="E87" s="159" t="s">
        <v>15</v>
      </c>
      <c r="F87" s="159" t="s">
        <v>15</v>
      </c>
      <c r="G87" s="159" t="s">
        <v>15</v>
      </c>
      <c r="H87" s="148">
        <f t="shared" si="16"/>
        <v>0</v>
      </c>
      <c r="I87" s="167"/>
      <c r="J87" s="160"/>
      <c r="K87" s="161" t="s">
        <v>0</v>
      </c>
      <c r="L87" s="160"/>
      <c r="M87" s="161" t="s">
        <v>0</v>
      </c>
      <c r="N87" s="160"/>
      <c r="O87" s="161" t="str">
        <f t="shared" si="13"/>
        <v>【No.記載で自動入力】</v>
      </c>
      <c r="P87" s="161" t="s">
        <v>626</v>
      </c>
      <c r="Q87" s="161" t="str">
        <f t="shared" si="14"/>
        <v>【No.記載で自動入力】</v>
      </c>
      <c r="R87" s="161" t="s">
        <v>0</v>
      </c>
      <c r="S87" s="161" t="str">
        <f t="shared" si="15"/>
        <v>【No.記載で自動入力】</v>
      </c>
      <c r="T87" s="160" t="s">
        <v>15</v>
      </c>
      <c r="U87" s="160" t="s">
        <v>15</v>
      </c>
      <c r="V87" s="160" t="s">
        <v>15</v>
      </c>
      <c r="W87" s="162"/>
      <c r="X87" s="162"/>
      <c r="Y87" s="163">
        <f t="shared" si="17"/>
        <v>0</v>
      </c>
      <c r="AA87" s="164" t="s">
        <v>156</v>
      </c>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row>
    <row r="88" spans="1:57" ht="19.5" customHeight="1">
      <c r="A88" s="166"/>
      <c r="B88" s="157" t="str">
        <f t="shared" si="12"/>
        <v>【No.記載で自動入力】</v>
      </c>
      <c r="C88" s="158"/>
      <c r="D88" s="158"/>
      <c r="E88" s="159" t="s">
        <v>15</v>
      </c>
      <c r="F88" s="159" t="s">
        <v>15</v>
      </c>
      <c r="G88" s="159" t="s">
        <v>15</v>
      </c>
      <c r="H88" s="148">
        <f t="shared" si="16"/>
        <v>0</v>
      </c>
      <c r="I88" s="167"/>
      <c r="J88" s="160"/>
      <c r="K88" s="161" t="s">
        <v>0</v>
      </c>
      <c r="L88" s="160"/>
      <c r="M88" s="161" t="s">
        <v>0</v>
      </c>
      <c r="N88" s="160"/>
      <c r="O88" s="161" t="str">
        <f t="shared" si="13"/>
        <v>【No.記載で自動入力】</v>
      </c>
      <c r="P88" s="161" t="s">
        <v>629</v>
      </c>
      <c r="Q88" s="161" t="str">
        <f t="shared" si="14"/>
        <v>【No.記載で自動入力】</v>
      </c>
      <c r="R88" s="161" t="s">
        <v>0</v>
      </c>
      <c r="S88" s="161" t="str">
        <f t="shared" si="15"/>
        <v>【No.記載で自動入力】</v>
      </c>
      <c r="T88" s="160" t="s">
        <v>15</v>
      </c>
      <c r="U88" s="160" t="s">
        <v>15</v>
      </c>
      <c r="V88" s="160" t="s">
        <v>15</v>
      </c>
      <c r="W88" s="162"/>
      <c r="X88" s="162"/>
      <c r="Y88" s="163">
        <f t="shared" si="17"/>
        <v>0</v>
      </c>
      <c r="AA88" s="164" t="s">
        <v>157</v>
      </c>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row>
    <row r="89" spans="1:57" ht="19.5" customHeight="1">
      <c r="A89" s="166"/>
      <c r="B89" s="157" t="str">
        <f t="shared" si="12"/>
        <v>【No.記載で自動入力】</v>
      </c>
      <c r="C89" s="158"/>
      <c r="D89" s="158"/>
      <c r="E89" s="159" t="s">
        <v>15</v>
      </c>
      <c r="F89" s="159" t="s">
        <v>15</v>
      </c>
      <c r="G89" s="159" t="s">
        <v>15</v>
      </c>
      <c r="H89" s="148">
        <f t="shared" si="16"/>
        <v>0</v>
      </c>
      <c r="I89" s="167"/>
      <c r="J89" s="160"/>
      <c r="K89" s="161" t="s">
        <v>0</v>
      </c>
      <c r="L89" s="160"/>
      <c r="M89" s="161" t="s">
        <v>0</v>
      </c>
      <c r="N89" s="160"/>
      <c r="O89" s="161" t="str">
        <f t="shared" si="13"/>
        <v>【No.記載で自動入力】</v>
      </c>
      <c r="P89" s="161" t="s">
        <v>630</v>
      </c>
      <c r="Q89" s="161" t="str">
        <f t="shared" si="14"/>
        <v>【No.記載で自動入力】</v>
      </c>
      <c r="R89" s="161" t="s">
        <v>0</v>
      </c>
      <c r="S89" s="161" t="str">
        <f t="shared" si="15"/>
        <v>【No.記載で自動入力】</v>
      </c>
      <c r="T89" s="160" t="s">
        <v>15</v>
      </c>
      <c r="U89" s="160" t="s">
        <v>15</v>
      </c>
      <c r="V89" s="160" t="s">
        <v>15</v>
      </c>
      <c r="W89" s="162"/>
      <c r="X89" s="162"/>
      <c r="Y89" s="163">
        <f t="shared" si="17"/>
        <v>0</v>
      </c>
      <c r="AA89" s="164" t="s">
        <v>158</v>
      </c>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row>
    <row r="90" spans="1:57" ht="19.5" customHeight="1">
      <c r="A90" s="166"/>
      <c r="B90" s="157" t="str">
        <f t="shared" si="12"/>
        <v>【No.記載で自動入力】</v>
      </c>
      <c r="C90" s="158"/>
      <c r="D90" s="158"/>
      <c r="E90" s="159" t="s">
        <v>15</v>
      </c>
      <c r="F90" s="159" t="s">
        <v>15</v>
      </c>
      <c r="G90" s="159" t="s">
        <v>15</v>
      </c>
      <c r="H90" s="148">
        <f t="shared" si="16"/>
        <v>0</v>
      </c>
      <c r="I90" s="167"/>
      <c r="J90" s="160"/>
      <c r="K90" s="161" t="s">
        <v>0</v>
      </c>
      <c r="L90" s="160"/>
      <c r="M90" s="161" t="s">
        <v>0</v>
      </c>
      <c r="N90" s="160"/>
      <c r="O90" s="161" t="str">
        <f t="shared" si="13"/>
        <v>【No.記載で自動入力】</v>
      </c>
      <c r="P90" s="161" t="s">
        <v>626</v>
      </c>
      <c r="Q90" s="161" t="str">
        <f t="shared" si="14"/>
        <v>【No.記載で自動入力】</v>
      </c>
      <c r="R90" s="161" t="s">
        <v>0</v>
      </c>
      <c r="S90" s="161" t="str">
        <f t="shared" si="15"/>
        <v>【No.記載で自動入力】</v>
      </c>
      <c r="T90" s="160" t="s">
        <v>15</v>
      </c>
      <c r="U90" s="160" t="s">
        <v>15</v>
      </c>
      <c r="V90" s="160" t="s">
        <v>15</v>
      </c>
      <c r="W90" s="162"/>
      <c r="X90" s="162"/>
      <c r="Y90" s="163">
        <f t="shared" si="17"/>
        <v>0</v>
      </c>
      <c r="AA90" s="164" t="s">
        <v>159</v>
      </c>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row>
    <row r="91" spans="1:57" ht="19.5" customHeight="1">
      <c r="A91" s="166"/>
      <c r="B91" s="157" t="str">
        <f t="shared" si="12"/>
        <v>【No.記載で自動入力】</v>
      </c>
      <c r="C91" s="158"/>
      <c r="D91" s="158"/>
      <c r="E91" s="159" t="s">
        <v>15</v>
      </c>
      <c r="F91" s="159" t="s">
        <v>15</v>
      </c>
      <c r="G91" s="159" t="s">
        <v>15</v>
      </c>
      <c r="H91" s="148">
        <f t="shared" si="16"/>
        <v>0</v>
      </c>
      <c r="I91" s="167"/>
      <c r="J91" s="160"/>
      <c r="K91" s="161" t="s">
        <v>0</v>
      </c>
      <c r="L91" s="160"/>
      <c r="M91" s="161" t="s">
        <v>0</v>
      </c>
      <c r="N91" s="160"/>
      <c r="O91" s="161" t="str">
        <f t="shared" si="13"/>
        <v>【No.記載で自動入力】</v>
      </c>
      <c r="P91" s="161" t="s">
        <v>629</v>
      </c>
      <c r="Q91" s="161" t="str">
        <f t="shared" si="14"/>
        <v>【No.記載で自動入力】</v>
      </c>
      <c r="R91" s="161" t="s">
        <v>0</v>
      </c>
      <c r="S91" s="161" t="str">
        <f t="shared" si="15"/>
        <v>【No.記載で自動入力】</v>
      </c>
      <c r="T91" s="160" t="s">
        <v>15</v>
      </c>
      <c r="U91" s="160" t="s">
        <v>15</v>
      </c>
      <c r="V91" s="160" t="s">
        <v>15</v>
      </c>
      <c r="W91" s="162"/>
      <c r="X91" s="162"/>
      <c r="Y91" s="163">
        <f t="shared" si="17"/>
        <v>0</v>
      </c>
      <c r="AA91" s="164" t="s">
        <v>160</v>
      </c>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row>
    <row r="92" spans="1:57" ht="19.5" customHeight="1">
      <c r="A92" s="166"/>
      <c r="B92" s="157" t="str">
        <f t="shared" si="12"/>
        <v>【No.記載で自動入力】</v>
      </c>
      <c r="C92" s="158"/>
      <c r="D92" s="158"/>
      <c r="E92" s="159" t="s">
        <v>15</v>
      </c>
      <c r="F92" s="159" t="s">
        <v>15</v>
      </c>
      <c r="G92" s="159" t="s">
        <v>15</v>
      </c>
      <c r="H92" s="148">
        <f t="shared" si="16"/>
        <v>0</v>
      </c>
      <c r="I92" s="167"/>
      <c r="J92" s="160"/>
      <c r="K92" s="161" t="s">
        <v>0</v>
      </c>
      <c r="L92" s="160"/>
      <c r="M92" s="161" t="s">
        <v>0</v>
      </c>
      <c r="N92" s="160"/>
      <c r="O92" s="161" t="str">
        <f t="shared" si="13"/>
        <v>【No.記載で自動入力】</v>
      </c>
      <c r="P92" s="161" t="s">
        <v>626</v>
      </c>
      <c r="Q92" s="161" t="str">
        <f t="shared" si="14"/>
        <v>【No.記載で自動入力】</v>
      </c>
      <c r="R92" s="161" t="s">
        <v>0</v>
      </c>
      <c r="S92" s="161" t="str">
        <f t="shared" si="15"/>
        <v>【No.記載で自動入力】</v>
      </c>
      <c r="T92" s="160" t="s">
        <v>15</v>
      </c>
      <c r="U92" s="160" t="s">
        <v>15</v>
      </c>
      <c r="V92" s="160" t="s">
        <v>15</v>
      </c>
      <c r="W92" s="162"/>
      <c r="X92" s="162"/>
      <c r="Y92" s="163">
        <f t="shared" si="17"/>
        <v>0</v>
      </c>
      <c r="AA92" s="164" t="s">
        <v>161</v>
      </c>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row>
    <row r="93" spans="1:57" ht="19.5" customHeight="1">
      <c r="A93" s="166"/>
      <c r="B93" s="157" t="str">
        <f t="shared" si="12"/>
        <v>【No.記載で自動入力】</v>
      </c>
      <c r="C93" s="158"/>
      <c r="D93" s="158"/>
      <c r="E93" s="159" t="s">
        <v>15</v>
      </c>
      <c r="F93" s="159" t="s">
        <v>15</v>
      </c>
      <c r="G93" s="159" t="s">
        <v>15</v>
      </c>
      <c r="H93" s="148">
        <f t="shared" si="16"/>
        <v>0</v>
      </c>
      <c r="I93" s="167"/>
      <c r="J93" s="160"/>
      <c r="K93" s="161" t="s">
        <v>0</v>
      </c>
      <c r="L93" s="160"/>
      <c r="M93" s="161" t="s">
        <v>0</v>
      </c>
      <c r="N93" s="160"/>
      <c r="O93" s="161" t="str">
        <f t="shared" si="13"/>
        <v>【No.記載で自動入力】</v>
      </c>
      <c r="P93" s="161" t="s">
        <v>630</v>
      </c>
      <c r="Q93" s="161" t="str">
        <f t="shared" si="14"/>
        <v>【No.記載で自動入力】</v>
      </c>
      <c r="R93" s="161" t="s">
        <v>0</v>
      </c>
      <c r="S93" s="161" t="str">
        <f t="shared" si="15"/>
        <v>【No.記載で自動入力】</v>
      </c>
      <c r="T93" s="160" t="s">
        <v>15</v>
      </c>
      <c r="U93" s="160" t="s">
        <v>15</v>
      </c>
      <c r="V93" s="160" t="s">
        <v>15</v>
      </c>
      <c r="W93" s="162"/>
      <c r="X93" s="162"/>
      <c r="Y93" s="163">
        <f t="shared" si="17"/>
        <v>0</v>
      </c>
      <c r="AA93" s="164" t="s">
        <v>162</v>
      </c>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row>
    <row r="94" spans="1:57" ht="19.5" customHeight="1">
      <c r="A94" s="166"/>
      <c r="B94" s="157" t="str">
        <f t="shared" si="12"/>
        <v>【No.記載で自動入力】</v>
      </c>
      <c r="C94" s="158"/>
      <c r="D94" s="158"/>
      <c r="E94" s="159" t="s">
        <v>15</v>
      </c>
      <c r="F94" s="159" t="s">
        <v>15</v>
      </c>
      <c r="G94" s="159" t="s">
        <v>15</v>
      </c>
      <c r="H94" s="148">
        <f t="shared" si="16"/>
        <v>0</v>
      </c>
      <c r="I94" s="167"/>
      <c r="J94" s="160"/>
      <c r="K94" s="161" t="s">
        <v>0</v>
      </c>
      <c r="L94" s="160"/>
      <c r="M94" s="161" t="s">
        <v>0</v>
      </c>
      <c r="N94" s="160"/>
      <c r="O94" s="161" t="str">
        <f t="shared" si="13"/>
        <v>【No.記載で自動入力】</v>
      </c>
      <c r="P94" s="161" t="s">
        <v>626</v>
      </c>
      <c r="Q94" s="161" t="str">
        <f t="shared" si="14"/>
        <v>【No.記載で自動入力】</v>
      </c>
      <c r="R94" s="161" t="s">
        <v>0</v>
      </c>
      <c r="S94" s="161" t="str">
        <f t="shared" si="15"/>
        <v>【No.記載で自動入力】</v>
      </c>
      <c r="T94" s="160" t="s">
        <v>15</v>
      </c>
      <c r="U94" s="160" t="s">
        <v>15</v>
      </c>
      <c r="V94" s="160" t="s">
        <v>15</v>
      </c>
      <c r="W94" s="162"/>
      <c r="X94" s="162"/>
      <c r="Y94" s="163">
        <f t="shared" si="17"/>
        <v>0</v>
      </c>
      <c r="AA94" s="164" t="s">
        <v>163</v>
      </c>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row>
    <row r="95" spans="1:57" ht="19.5" customHeight="1">
      <c r="A95" s="166"/>
      <c r="B95" s="157" t="str">
        <f t="shared" si="12"/>
        <v>【No.記載で自動入力】</v>
      </c>
      <c r="C95" s="158"/>
      <c r="D95" s="158"/>
      <c r="E95" s="159" t="s">
        <v>15</v>
      </c>
      <c r="F95" s="159" t="s">
        <v>15</v>
      </c>
      <c r="G95" s="159" t="s">
        <v>15</v>
      </c>
      <c r="H95" s="148">
        <f t="shared" si="16"/>
        <v>0</v>
      </c>
      <c r="I95" s="167"/>
      <c r="J95" s="160"/>
      <c r="K95" s="161" t="s">
        <v>0</v>
      </c>
      <c r="L95" s="160"/>
      <c r="M95" s="161" t="s">
        <v>0</v>
      </c>
      <c r="N95" s="160"/>
      <c r="O95" s="161" t="str">
        <f t="shared" si="13"/>
        <v>【No.記載で自動入力】</v>
      </c>
      <c r="P95" s="161" t="s">
        <v>629</v>
      </c>
      <c r="Q95" s="161" t="str">
        <f t="shared" si="14"/>
        <v>【No.記載で自動入力】</v>
      </c>
      <c r="R95" s="161" t="s">
        <v>0</v>
      </c>
      <c r="S95" s="161" t="str">
        <f t="shared" si="15"/>
        <v>【No.記載で自動入力】</v>
      </c>
      <c r="T95" s="160" t="s">
        <v>15</v>
      </c>
      <c r="U95" s="160" t="s">
        <v>15</v>
      </c>
      <c r="V95" s="160" t="s">
        <v>15</v>
      </c>
      <c r="W95" s="162"/>
      <c r="X95" s="162"/>
      <c r="Y95" s="163">
        <f t="shared" si="17"/>
        <v>0</v>
      </c>
      <c r="AA95" s="164" t="s">
        <v>164</v>
      </c>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row>
    <row r="96" spans="1:57" ht="19.5" customHeight="1">
      <c r="A96" s="166"/>
      <c r="B96" s="157" t="str">
        <f t="shared" si="12"/>
        <v>【No.記載で自動入力】</v>
      </c>
      <c r="C96" s="158"/>
      <c r="D96" s="158"/>
      <c r="E96" s="159" t="s">
        <v>15</v>
      </c>
      <c r="F96" s="159" t="s">
        <v>15</v>
      </c>
      <c r="G96" s="159" t="s">
        <v>15</v>
      </c>
      <c r="H96" s="148">
        <f t="shared" si="16"/>
        <v>0</v>
      </c>
      <c r="I96" s="167"/>
      <c r="J96" s="160"/>
      <c r="K96" s="161" t="s">
        <v>0</v>
      </c>
      <c r="L96" s="160"/>
      <c r="M96" s="161" t="s">
        <v>0</v>
      </c>
      <c r="N96" s="160"/>
      <c r="O96" s="161" t="str">
        <f t="shared" si="13"/>
        <v>【No.記載で自動入力】</v>
      </c>
      <c r="P96" s="161" t="s">
        <v>626</v>
      </c>
      <c r="Q96" s="161" t="str">
        <f t="shared" si="14"/>
        <v>【No.記載で自動入力】</v>
      </c>
      <c r="R96" s="161" t="s">
        <v>0</v>
      </c>
      <c r="S96" s="161" t="str">
        <f t="shared" si="15"/>
        <v>【No.記載で自動入力】</v>
      </c>
      <c r="T96" s="160" t="s">
        <v>15</v>
      </c>
      <c r="U96" s="160" t="s">
        <v>15</v>
      </c>
      <c r="V96" s="160" t="s">
        <v>15</v>
      </c>
      <c r="W96" s="162"/>
      <c r="X96" s="162"/>
      <c r="Y96" s="163">
        <f t="shared" si="17"/>
        <v>0</v>
      </c>
      <c r="AA96" s="164" t="s">
        <v>165</v>
      </c>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row>
    <row r="97" spans="1:57" ht="19.5" customHeight="1">
      <c r="A97" s="166"/>
      <c r="B97" s="157" t="str">
        <f t="shared" si="12"/>
        <v>【No.記載で自動入力】</v>
      </c>
      <c r="C97" s="158"/>
      <c r="D97" s="158"/>
      <c r="E97" s="159" t="s">
        <v>15</v>
      </c>
      <c r="F97" s="159" t="s">
        <v>15</v>
      </c>
      <c r="G97" s="159" t="s">
        <v>15</v>
      </c>
      <c r="H97" s="148">
        <f t="shared" si="16"/>
        <v>0</v>
      </c>
      <c r="I97" s="167"/>
      <c r="J97" s="160"/>
      <c r="K97" s="161" t="s">
        <v>0</v>
      </c>
      <c r="L97" s="160"/>
      <c r="M97" s="161" t="s">
        <v>0</v>
      </c>
      <c r="N97" s="160"/>
      <c r="O97" s="161" t="str">
        <f t="shared" si="13"/>
        <v>【No.記載で自動入力】</v>
      </c>
      <c r="P97" s="161" t="s">
        <v>629</v>
      </c>
      <c r="Q97" s="161" t="str">
        <f t="shared" si="14"/>
        <v>【No.記載で自動入力】</v>
      </c>
      <c r="R97" s="161" t="s">
        <v>0</v>
      </c>
      <c r="S97" s="161" t="str">
        <f t="shared" si="15"/>
        <v>【No.記載で自動入力】</v>
      </c>
      <c r="T97" s="160" t="s">
        <v>15</v>
      </c>
      <c r="U97" s="160" t="s">
        <v>15</v>
      </c>
      <c r="V97" s="160" t="s">
        <v>15</v>
      </c>
      <c r="W97" s="162"/>
      <c r="X97" s="162"/>
      <c r="Y97" s="163">
        <f t="shared" si="17"/>
        <v>0</v>
      </c>
      <c r="AA97" s="164" t="s">
        <v>166</v>
      </c>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row>
    <row r="98" spans="1:57" ht="19.5" customHeight="1">
      <c r="A98" s="166"/>
      <c r="B98" s="157" t="str">
        <f t="shared" si="12"/>
        <v>【No.記載で自動入力】</v>
      </c>
      <c r="C98" s="158"/>
      <c r="D98" s="158"/>
      <c r="E98" s="159" t="s">
        <v>15</v>
      </c>
      <c r="F98" s="159" t="s">
        <v>15</v>
      </c>
      <c r="G98" s="159" t="s">
        <v>15</v>
      </c>
      <c r="H98" s="148">
        <f t="shared" si="16"/>
        <v>0</v>
      </c>
      <c r="I98" s="167"/>
      <c r="J98" s="160"/>
      <c r="K98" s="161" t="s">
        <v>0</v>
      </c>
      <c r="L98" s="160"/>
      <c r="M98" s="161" t="s">
        <v>0</v>
      </c>
      <c r="N98" s="160"/>
      <c r="O98" s="161" t="str">
        <f t="shared" si="13"/>
        <v>【No.記載で自動入力】</v>
      </c>
      <c r="P98" s="161" t="s">
        <v>629</v>
      </c>
      <c r="Q98" s="161" t="str">
        <f t="shared" si="14"/>
        <v>【No.記載で自動入力】</v>
      </c>
      <c r="R98" s="161" t="s">
        <v>0</v>
      </c>
      <c r="S98" s="161" t="str">
        <f t="shared" si="15"/>
        <v>【No.記載で自動入力】</v>
      </c>
      <c r="T98" s="160" t="s">
        <v>15</v>
      </c>
      <c r="U98" s="160" t="s">
        <v>15</v>
      </c>
      <c r="V98" s="160" t="s">
        <v>15</v>
      </c>
      <c r="W98" s="162"/>
      <c r="X98" s="162"/>
      <c r="Y98" s="163">
        <f t="shared" si="17"/>
        <v>0</v>
      </c>
      <c r="AA98" s="164" t="s">
        <v>167</v>
      </c>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row>
    <row r="99" spans="1:57" ht="19.5" customHeight="1">
      <c r="A99" s="166"/>
      <c r="B99" s="157" t="str">
        <f t="shared" si="12"/>
        <v>【No.記載で自動入力】</v>
      </c>
      <c r="C99" s="158"/>
      <c r="D99" s="158"/>
      <c r="E99" s="159" t="s">
        <v>15</v>
      </c>
      <c r="F99" s="159" t="s">
        <v>15</v>
      </c>
      <c r="G99" s="159" t="s">
        <v>15</v>
      </c>
      <c r="H99" s="148">
        <f t="shared" si="16"/>
        <v>0</v>
      </c>
      <c r="I99" s="167"/>
      <c r="J99" s="160"/>
      <c r="K99" s="161" t="s">
        <v>0</v>
      </c>
      <c r="L99" s="160"/>
      <c r="M99" s="161" t="s">
        <v>0</v>
      </c>
      <c r="N99" s="160"/>
      <c r="O99" s="161" t="str">
        <f t="shared" si="13"/>
        <v>【No.記載で自動入力】</v>
      </c>
      <c r="P99" s="161" t="s">
        <v>626</v>
      </c>
      <c r="Q99" s="161" t="str">
        <f t="shared" si="14"/>
        <v>【No.記載で自動入力】</v>
      </c>
      <c r="R99" s="161" t="s">
        <v>0</v>
      </c>
      <c r="S99" s="161" t="str">
        <f t="shared" si="15"/>
        <v>【No.記載で自動入力】</v>
      </c>
      <c r="T99" s="160" t="s">
        <v>15</v>
      </c>
      <c r="U99" s="160" t="s">
        <v>15</v>
      </c>
      <c r="V99" s="160" t="s">
        <v>15</v>
      </c>
      <c r="W99" s="162"/>
      <c r="X99" s="162"/>
      <c r="Y99" s="163">
        <f t="shared" si="17"/>
        <v>0</v>
      </c>
      <c r="AA99" s="164" t="s">
        <v>168</v>
      </c>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row>
    <row r="100" spans="1:57" ht="19.5" customHeight="1">
      <c r="A100" s="166"/>
      <c r="B100" s="157" t="str">
        <f t="shared" si="12"/>
        <v>【No.記載で自動入力】</v>
      </c>
      <c r="C100" s="158"/>
      <c r="D100" s="158"/>
      <c r="E100" s="159" t="s">
        <v>15</v>
      </c>
      <c r="F100" s="159" t="s">
        <v>15</v>
      </c>
      <c r="G100" s="159" t="s">
        <v>15</v>
      </c>
      <c r="H100" s="148">
        <f t="shared" si="16"/>
        <v>0</v>
      </c>
      <c r="I100" s="167"/>
      <c r="J100" s="160"/>
      <c r="K100" s="161" t="s">
        <v>0</v>
      </c>
      <c r="L100" s="160"/>
      <c r="M100" s="161" t="s">
        <v>0</v>
      </c>
      <c r="N100" s="160"/>
      <c r="O100" s="161" t="str">
        <f t="shared" si="13"/>
        <v>【No.記載で自動入力】</v>
      </c>
      <c r="P100" s="161" t="s">
        <v>629</v>
      </c>
      <c r="Q100" s="161" t="str">
        <f t="shared" si="14"/>
        <v>【No.記載で自動入力】</v>
      </c>
      <c r="R100" s="161" t="s">
        <v>0</v>
      </c>
      <c r="S100" s="161" t="str">
        <f t="shared" si="15"/>
        <v>【No.記載で自動入力】</v>
      </c>
      <c r="T100" s="160" t="s">
        <v>15</v>
      </c>
      <c r="U100" s="160" t="s">
        <v>15</v>
      </c>
      <c r="V100" s="160" t="s">
        <v>15</v>
      </c>
      <c r="W100" s="162"/>
      <c r="X100" s="162"/>
      <c r="Y100" s="163">
        <f t="shared" si="17"/>
        <v>0</v>
      </c>
      <c r="AA100" s="164" t="s">
        <v>169</v>
      </c>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row>
    <row r="101" spans="1:57" ht="19.5" customHeight="1">
      <c r="A101" s="166"/>
      <c r="B101" s="157" t="str">
        <f t="shared" si="12"/>
        <v>【No.記載で自動入力】</v>
      </c>
      <c r="C101" s="158"/>
      <c r="D101" s="158"/>
      <c r="E101" s="159" t="s">
        <v>15</v>
      </c>
      <c r="F101" s="159" t="s">
        <v>15</v>
      </c>
      <c r="G101" s="159" t="s">
        <v>15</v>
      </c>
      <c r="H101" s="148">
        <f t="shared" si="16"/>
        <v>0</v>
      </c>
      <c r="I101" s="167"/>
      <c r="J101" s="160"/>
      <c r="K101" s="161" t="s">
        <v>0</v>
      </c>
      <c r="L101" s="160"/>
      <c r="M101" s="161" t="s">
        <v>0</v>
      </c>
      <c r="N101" s="160"/>
      <c r="O101" s="161" t="str">
        <f t="shared" si="13"/>
        <v>【No.記載で自動入力】</v>
      </c>
      <c r="P101" s="161" t="s">
        <v>629</v>
      </c>
      <c r="Q101" s="161" t="str">
        <f t="shared" si="14"/>
        <v>【No.記載で自動入力】</v>
      </c>
      <c r="R101" s="161" t="s">
        <v>0</v>
      </c>
      <c r="S101" s="161" t="str">
        <f t="shared" si="15"/>
        <v>【No.記載で自動入力】</v>
      </c>
      <c r="T101" s="160" t="s">
        <v>15</v>
      </c>
      <c r="U101" s="160" t="s">
        <v>15</v>
      </c>
      <c r="V101" s="160" t="s">
        <v>15</v>
      </c>
      <c r="W101" s="162"/>
      <c r="X101" s="162"/>
      <c r="Y101" s="163">
        <f t="shared" si="17"/>
        <v>0</v>
      </c>
      <c r="AA101" s="164" t="s">
        <v>170</v>
      </c>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row>
    <row r="102" spans="1:57" ht="19.5" customHeight="1">
      <c r="A102" s="166"/>
      <c r="B102" s="157" t="str">
        <f t="shared" si="12"/>
        <v>【No.記載で自動入力】</v>
      </c>
      <c r="C102" s="158"/>
      <c r="D102" s="158"/>
      <c r="E102" s="159" t="s">
        <v>15</v>
      </c>
      <c r="F102" s="159" t="s">
        <v>15</v>
      </c>
      <c r="G102" s="159" t="s">
        <v>15</v>
      </c>
      <c r="H102" s="148">
        <f t="shared" si="16"/>
        <v>0</v>
      </c>
      <c r="I102" s="167"/>
      <c r="J102" s="160"/>
      <c r="K102" s="161" t="s">
        <v>0</v>
      </c>
      <c r="L102" s="160"/>
      <c r="M102" s="161" t="s">
        <v>0</v>
      </c>
      <c r="N102" s="160"/>
      <c r="O102" s="161" t="str">
        <f t="shared" si="13"/>
        <v>【No.記載で自動入力】</v>
      </c>
      <c r="P102" s="161" t="s">
        <v>630</v>
      </c>
      <c r="Q102" s="161" t="str">
        <f t="shared" si="14"/>
        <v>【No.記載で自動入力】</v>
      </c>
      <c r="R102" s="161" t="s">
        <v>0</v>
      </c>
      <c r="S102" s="161" t="str">
        <f t="shared" si="15"/>
        <v>【No.記載で自動入力】</v>
      </c>
      <c r="T102" s="160" t="s">
        <v>15</v>
      </c>
      <c r="U102" s="160" t="s">
        <v>15</v>
      </c>
      <c r="V102" s="160" t="s">
        <v>15</v>
      </c>
      <c r="W102" s="162"/>
      <c r="X102" s="162"/>
      <c r="Y102" s="163">
        <f t="shared" si="17"/>
        <v>0</v>
      </c>
      <c r="AA102" s="164" t="s">
        <v>171</v>
      </c>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row>
    <row r="103" spans="1:57" ht="19.5" customHeight="1">
      <c r="A103" s="166"/>
      <c r="B103" s="157" t="str">
        <f t="shared" si="12"/>
        <v>【No.記載で自動入力】</v>
      </c>
      <c r="C103" s="158"/>
      <c r="D103" s="158"/>
      <c r="E103" s="159" t="s">
        <v>15</v>
      </c>
      <c r="F103" s="159" t="s">
        <v>15</v>
      </c>
      <c r="G103" s="159" t="s">
        <v>15</v>
      </c>
      <c r="H103" s="148">
        <f t="shared" si="16"/>
        <v>0</v>
      </c>
      <c r="I103" s="167"/>
      <c r="J103" s="160"/>
      <c r="K103" s="161" t="s">
        <v>0</v>
      </c>
      <c r="L103" s="160"/>
      <c r="M103" s="161" t="s">
        <v>0</v>
      </c>
      <c r="N103" s="160"/>
      <c r="O103" s="161" t="str">
        <f t="shared" si="13"/>
        <v>【No.記載で自動入力】</v>
      </c>
      <c r="P103" s="161" t="s">
        <v>630</v>
      </c>
      <c r="Q103" s="161" t="str">
        <f t="shared" si="14"/>
        <v>【No.記載で自動入力】</v>
      </c>
      <c r="R103" s="161" t="s">
        <v>0</v>
      </c>
      <c r="S103" s="161" t="str">
        <f t="shared" si="15"/>
        <v>【No.記載で自動入力】</v>
      </c>
      <c r="T103" s="160" t="s">
        <v>15</v>
      </c>
      <c r="U103" s="160" t="s">
        <v>15</v>
      </c>
      <c r="V103" s="160" t="s">
        <v>15</v>
      </c>
      <c r="W103" s="162"/>
      <c r="X103" s="162"/>
      <c r="Y103" s="163">
        <f t="shared" si="17"/>
        <v>0</v>
      </c>
      <c r="AA103" s="164" t="s">
        <v>172</v>
      </c>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row>
    <row r="104" spans="1:57" ht="19.5" customHeight="1">
      <c r="A104" s="166"/>
      <c r="B104" s="157" t="str">
        <f t="shared" si="12"/>
        <v>【No.記載で自動入力】</v>
      </c>
      <c r="C104" s="158"/>
      <c r="D104" s="158"/>
      <c r="E104" s="159" t="s">
        <v>15</v>
      </c>
      <c r="F104" s="159" t="s">
        <v>15</v>
      </c>
      <c r="G104" s="159" t="s">
        <v>15</v>
      </c>
      <c r="H104" s="148">
        <f t="shared" si="16"/>
        <v>0</v>
      </c>
      <c r="I104" s="167"/>
      <c r="J104" s="160"/>
      <c r="K104" s="161" t="s">
        <v>0</v>
      </c>
      <c r="L104" s="160"/>
      <c r="M104" s="161" t="s">
        <v>0</v>
      </c>
      <c r="N104" s="160"/>
      <c r="O104" s="161" t="str">
        <f t="shared" si="13"/>
        <v>【No.記載で自動入力】</v>
      </c>
      <c r="P104" s="161" t="s">
        <v>629</v>
      </c>
      <c r="Q104" s="161" t="str">
        <f t="shared" si="14"/>
        <v>【No.記載で自動入力】</v>
      </c>
      <c r="R104" s="161" t="s">
        <v>0</v>
      </c>
      <c r="S104" s="161" t="str">
        <f t="shared" si="15"/>
        <v>【No.記載で自動入力】</v>
      </c>
      <c r="T104" s="160" t="s">
        <v>15</v>
      </c>
      <c r="U104" s="160" t="s">
        <v>15</v>
      </c>
      <c r="V104" s="160" t="s">
        <v>15</v>
      </c>
      <c r="W104" s="162"/>
      <c r="X104" s="162"/>
      <c r="Y104" s="163">
        <f t="shared" si="17"/>
        <v>0</v>
      </c>
      <c r="AA104" s="164" t="s">
        <v>173</v>
      </c>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row>
    <row r="105" spans="1:57" ht="19.5" customHeight="1">
      <c r="A105" s="166"/>
      <c r="B105" s="157" t="str">
        <f>IFERROR(IF(HLOOKUP(A105,$7:$8,MATCH("キーワードNo.／カテゴリ名",$AA$7:$AA$8,0),FALSE)="","",HLOOKUP(A105,$7:$8,MATCH("キーワードNo.／カテゴリ名",$AA$7:$AA$8,0),FALSE)),"【No.記載で自動入力】")</f>
        <v>【No.記載で自動入力】</v>
      </c>
      <c r="C105" s="158"/>
      <c r="D105" s="158"/>
      <c r="E105" s="159" t="s">
        <v>15</v>
      </c>
      <c r="F105" s="159" t="s">
        <v>15</v>
      </c>
      <c r="G105" s="159" t="s">
        <v>15</v>
      </c>
      <c r="H105" s="148">
        <f t="shared" si="16"/>
        <v>0</v>
      </c>
      <c r="I105" s="167"/>
      <c r="J105" s="160"/>
      <c r="K105" s="161" t="s">
        <v>0</v>
      </c>
      <c r="L105" s="160"/>
      <c r="M105" s="161" t="s">
        <v>0</v>
      </c>
      <c r="N105" s="160"/>
      <c r="O105" s="161" t="str">
        <f t="shared" si="13"/>
        <v>【No.記載で自動入力】</v>
      </c>
      <c r="P105" s="161" t="s">
        <v>626</v>
      </c>
      <c r="Q105" s="161" t="str">
        <f t="shared" si="14"/>
        <v>【No.記載で自動入力】</v>
      </c>
      <c r="R105" s="161" t="s">
        <v>0</v>
      </c>
      <c r="S105" s="161" t="str">
        <f t="shared" si="15"/>
        <v>【No.記載で自動入力】</v>
      </c>
      <c r="T105" s="160" t="s">
        <v>15</v>
      </c>
      <c r="U105" s="160" t="s">
        <v>15</v>
      </c>
      <c r="V105" s="160" t="s">
        <v>15</v>
      </c>
      <c r="W105" s="162"/>
      <c r="X105" s="162"/>
      <c r="Y105" s="163">
        <f t="shared" si="17"/>
        <v>0</v>
      </c>
      <c r="AA105" s="164" t="s">
        <v>174</v>
      </c>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row>
    <row r="106" spans="1:57" ht="19.5" customHeight="1">
      <c r="A106" s="166"/>
      <c r="B106" s="157" t="str">
        <f>IFERROR(IF(HLOOKUP(A106,$7:$8,MATCH("キーワードNo.／カテゴリ名",$AA$7:$AA$8,0),FALSE)="","",HLOOKUP(A106,$7:$8,MATCH("キーワードNo.／カテゴリ名",$AA$7:$AA$8,0),FALSE)),"【No.記載で自動入力】")</f>
        <v>【No.記載で自動入力】</v>
      </c>
      <c r="C106" s="158"/>
      <c r="D106" s="158"/>
      <c r="E106" s="159" t="s">
        <v>15</v>
      </c>
      <c r="F106" s="159" t="s">
        <v>15</v>
      </c>
      <c r="G106" s="159" t="s">
        <v>15</v>
      </c>
      <c r="H106" s="148">
        <f t="shared" si="16"/>
        <v>0</v>
      </c>
      <c r="I106" s="167"/>
      <c r="J106" s="160"/>
      <c r="K106" s="161" t="s">
        <v>0</v>
      </c>
      <c r="L106" s="160"/>
      <c r="M106" s="161" t="s">
        <v>0</v>
      </c>
      <c r="N106" s="160"/>
      <c r="O106" s="161" t="str">
        <f t="shared" si="13"/>
        <v>【No.記載で自動入力】</v>
      </c>
      <c r="P106" s="161" t="s">
        <v>629</v>
      </c>
      <c r="Q106" s="161" t="str">
        <f t="shared" si="14"/>
        <v>【No.記載で自動入力】</v>
      </c>
      <c r="R106" s="161" t="s">
        <v>0</v>
      </c>
      <c r="S106" s="161" t="str">
        <f t="shared" si="15"/>
        <v>【No.記載で自動入力】</v>
      </c>
      <c r="T106" s="160" t="s">
        <v>15</v>
      </c>
      <c r="U106" s="160" t="s">
        <v>15</v>
      </c>
      <c r="V106" s="160" t="s">
        <v>15</v>
      </c>
      <c r="W106" s="162"/>
      <c r="X106" s="162"/>
      <c r="Y106" s="163">
        <f t="shared" si="17"/>
        <v>0</v>
      </c>
      <c r="AA106" s="164" t="s">
        <v>175</v>
      </c>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row>
    <row r="107" spans="1:57" ht="19.5" customHeight="1">
      <c r="A107" s="166"/>
      <c r="B107" s="157" t="str">
        <f>IFERROR(IF(HLOOKUP(A107,$7:$8,MATCH("キーワードNo.／カテゴリ名",$AA$7:$AA$8,0),FALSE)="","",HLOOKUP(A107,$7:$8,MATCH("キーワードNo.／カテゴリ名",$AA$7:$AA$8,0),FALSE)),"【No.記載で自動入力】")</f>
        <v>【No.記載で自動入力】</v>
      </c>
      <c r="C107" s="158"/>
      <c r="D107" s="158"/>
      <c r="E107" s="159" t="s">
        <v>15</v>
      </c>
      <c r="F107" s="159" t="s">
        <v>15</v>
      </c>
      <c r="G107" s="159" t="s">
        <v>15</v>
      </c>
      <c r="H107" s="148">
        <f t="shared" si="16"/>
        <v>0</v>
      </c>
      <c r="I107" s="167"/>
      <c r="J107" s="160"/>
      <c r="K107" s="161" t="s">
        <v>0</v>
      </c>
      <c r="L107" s="160"/>
      <c r="M107" s="161" t="s">
        <v>0</v>
      </c>
      <c r="N107" s="160"/>
      <c r="O107" s="161" t="str">
        <f t="shared" si="13"/>
        <v>【No.記載で自動入力】</v>
      </c>
      <c r="P107" s="161" t="s">
        <v>629</v>
      </c>
      <c r="Q107" s="161" t="str">
        <f t="shared" si="14"/>
        <v>【No.記載で自動入力】</v>
      </c>
      <c r="R107" s="161" t="s">
        <v>0</v>
      </c>
      <c r="S107" s="161" t="str">
        <f t="shared" si="15"/>
        <v>【No.記載で自動入力】</v>
      </c>
      <c r="T107" s="160" t="s">
        <v>15</v>
      </c>
      <c r="U107" s="160" t="s">
        <v>15</v>
      </c>
      <c r="V107" s="160" t="s">
        <v>15</v>
      </c>
      <c r="W107" s="162"/>
      <c r="X107" s="162"/>
      <c r="Y107" s="163">
        <f t="shared" si="17"/>
        <v>0</v>
      </c>
      <c r="AA107" s="164" t="s">
        <v>176</v>
      </c>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row>
    <row r="108" spans="1:57" ht="19.5" customHeight="1">
      <c r="A108" s="166"/>
      <c r="B108" s="157" t="str">
        <f>IFERROR(IF(HLOOKUP(A108,$7:$8,MATCH("キーワードNo.／カテゴリ名",$AA$7:$AA$8,0),FALSE)="","",HLOOKUP(A108,$7:$8,MATCH("キーワードNo.／カテゴリ名",$AA$7:$AA$8,0),FALSE)),"【No.記載で自動入力】")</f>
        <v>【No.記載で自動入力】</v>
      </c>
      <c r="C108" s="158"/>
      <c r="D108" s="158"/>
      <c r="E108" s="159" t="s">
        <v>15</v>
      </c>
      <c r="F108" s="159" t="s">
        <v>15</v>
      </c>
      <c r="G108" s="159" t="s">
        <v>15</v>
      </c>
      <c r="H108" s="148">
        <f t="shared" si="16"/>
        <v>0</v>
      </c>
      <c r="I108" s="167"/>
      <c r="J108" s="160"/>
      <c r="K108" s="161" t="s">
        <v>0</v>
      </c>
      <c r="L108" s="160"/>
      <c r="M108" s="161" t="s">
        <v>0</v>
      </c>
      <c r="N108" s="160"/>
      <c r="O108" s="161" t="str">
        <f t="shared" si="13"/>
        <v>【No.記載で自動入力】</v>
      </c>
      <c r="P108" s="161" t="s">
        <v>626</v>
      </c>
      <c r="Q108" s="161" t="str">
        <f t="shared" si="14"/>
        <v>【No.記載で自動入力】</v>
      </c>
      <c r="R108" s="161" t="s">
        <v>0</v>
      </c>
      <c r="S108" s="161" t="str">
        <f t="shared" si="15"/>
        <v>【No.記載で自動入力】</v>
      </c>
      <c r="T108" s="160" t="s">
        <v>15</v>
      </c>
      <c r="U108" s="160" t="s">
        <v>15</v>
      </c>
      <c r="V108" s="160" t="s">
        <v>15</v>
      </c>
      <c r="W108" s="162"/>
      <c r="X108" s="162"/>
      <c r="Y108" s="163">
        <f t="shared" si="17"/>
        <v>0</v>
      </c>
      <c r="AA108" s="164" t="s">
        <v>177</v>
      </c>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row>
  </sheetData>
  <mergeCells count="4">
    <mergeCell ref="J4:N4"/>
    <mergeCell ref="O4:V4"/>
    <mergeCell ref="A7:G7"/>
    <mergeCell ref="J7:X7"/>
  </mergeCells>
  <phoneticPr fontId="20"/>
  <conditionalFormatting sqref="AB9:BE108">
    <cfRule type="duplicateValues" dxfId="169" priority="1"/>
  </conditionalFormatting>
  <dataValidations count="1">
    <dataValidation type="list" allowBlank="1" showInputMessage="1" sqref="T9:V108 E9:G108" xr:uid="{00000000-0002-0000-0A00-000000000000}">
      <formula1>$T$1:$T$2</formula1>
    </dataValidation>
  </dataValidations>
  <pageMargins left="0.7" right="0.7" top="0.75" bottom="0.75" header="0.3" footer="0.3"/>
  <pageSetup paperSize="9" scale="16"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20"/>
  <sheetViews>
    <sheetView showGridLines="0" view="pageBreakPreview" zoomScale="85" zoomScaleNormal="100" zoomScaleSheetLayoutView="85" workbookViewId="0">
      <pane ySplit="6" topLeftCell="A7" activePane="bottomLeft" state="frozen"/>
      <selection pane="bottomLeft"/>
    </sheetView>
  </sheetViews>
  <sheetFormatPr defaultColWidth="8.88671875" defaultRowHeight="19.5" customHeight="1"/>
  <cols>
    <col min="1" max="1" width="17" style="143" customWidth="1"/>
    <col min="2" max="2" width="10.77734375" style="143" customWidth="1"/>
    <col min="3" max="4" width="25.77734375" style="143" customWidth="1"/>
    <col min="5" max="5" width="18.6640625" style="142" customWidth="1"/>
    <col min="6" max="6" width="22.21875" style="143" customWidth="1"/>
    <col min="7" max="9" width="22.21875" style="142" customWidth="1"/>
    <col min="10" max="11" width="37.109375" style="142" customWidth="1"/>
    <col min="12" max="16" width="3.109375" style="142" bestFit="1" customWidth="1"/>
    <col min="17" max="19" width="15.77734375" style="142" customWidth="1"/>
    <col min="20" max="21" width="3.109375" style="142" customWidth="1"/>
    <col min="22" max="22" width="26.77734375" style="142" customWidth="1"/>
    <col min="23" max="27" width="15.77734375" style="142" customWidth="1"/>
    <col min="28" max="28" width="8.88671875" style="142" hidden="1" customWidth="1"/>
    <col min="29" max="16384" width="8.88671875" style="142"/>
  </cols>
  <sheetData>
    <row r="1" spans="1:28" ht="19.5" customHeight="1">
      <c r="A1" s="114" t="str">
        <f>"Ver."&amp;変更履歴!$B$1</f>
        <v>Ver.10.1</v>
      </c>
      <c r="AB1" s="168"/>
    </row>
    <row r="2" spans="1:28" ht="19.5" customHeight="1">
      <c r="A2" s="144" t="s">
        <v>631</v>
      </c>
      <c r="AB2" s="168"/>
    </row>
    <row r="3" spans="1:28" ht="76.5" customHeight="1">
      <c r="A3" s="144"/>
      <c r="F3" s="486" t="s">
        <v>598</v>
      </c>
      <c r="G3" s="487"/>
      <c r="H3" s="487"/>
      <c r="I3" s="487"/>
      <c r="J3" s="487"/>
      <c r="K3" s="488"/>
      <c r="AB3" s="168"/>
    </row>
    <row r="4" spans="1:28" ht="20.25" customHeight="1">
      <c r="A4" s="144"/>
      <c r="F4" s="142"/>
      <c r="AB4" s="168"/>
    </row>
    <row r="5" spans="1:28" s="143" customFormat="1" ht="46.5" customHeight="1">
      <c r="A5" s="169" t="s">
        <v>18</v>
      </c>
      <c r="B5" s="169" t="s">
        <v>14</v>
      </c>
      <c r="C5" s="169" t="s">
        <v>6</v>
      </c>
      <c r="D5" s="169" t="s">
        <v>7</v>
      </c>
      <c r="E5" s="171" t="s">
        <v>636</v>
      </c>
      <c r="F5" s="169" t="s">
        <v>579</v>
      </c>
      <c r="G5" s="170" t="s">
        <v>632</v>
      </c>
      <c r="H5" s="170" t="s">
        <v>9</v>
      </c>
      <c r="I5" s="170" t="s">
        <v>602</v>
      </c>
      <c r="J5" s="171" t="s">
        <v>604</v>
      </c>
      <c r="K5" s="171" t="s">
        <v>603</v>
      </c>
      <c r="L5" s="489" t="s">
        <v>250</v>
      </c>
      <c r="M5" s="489"/>
      <c r="N5" s="489"/>
      <c r="O5" s="489"/>
      <c r="P5" s="490"/>
      <c r="Q5" s="172" t="s">
        <v>179</v>
      </c>
      <c r="R5" s="171" t="s">
        <v>633</v>
      </c>
      <c r="S5" s="171" t="s">
        <v>634</v>
      </c>
      <c r="T5" s="491" t="s">
        <v>1755</v>
      </c>
      <c r="U5" s="492"/>
      <c r="V5" s="171" t="s">
        <v>20</v>
      </c>
      <c r="W5" s="171" t="s">
        <v>25</v>
      </c>
      <c r="X5" s="171" t="s">
        <v>635</v>
      </c>
      <c r="Y5" s="171" t="s">
        <v>669</v>
      </c>
      <c r="Z5" s="171" t="s">
        <v>706</v>
      </c>
      <c r="AA5" s="171" t="s">
        <v>1768</v>
      </c>
      <c r="AB5" s="168"/>
    </row>
    <row r="6" spans="1:28" s="143" customFormat="1" ht="15">
      <c r="A6" s="376" t="s">
        <v>1891</v>
      </c>
      <c r="B6" s="171"/>
      <c r="C6" s="376" t="s">
        <v>1891</v>
      </c>
      <c r="D6" s="375" t="s">
        <v>1892</v>
      </c>
      <c r="E6" s="171"/>
      <c r="F6" s="375" t="s">
        <v>1892</v>
      </c>
      <c r="G6" s="376" t="s">
        <v>1891</v>
      </c>
      <c r="H6" s="376" t="s">
        <v>1891</v>
      </c>
      <c r="I6" s="170"/>
      <c r="J6" s="376" t="s">
        <v>1891</v>
      </c>
      <c r="K6" s="171"/>
      <c r="L6" s="356"/>
      <c r="M6" s="356"/>
      <c r="N6" s="356"/>
      <c r="O6" s="356"/>
      <c r="P6" s="357"/>
      <c r="Q6" s="172"/>
      <c r="R6" s="171"/>
      <c r="S6" s="171"/>
      <c r="T6" s="358"/>
      <c r="U6" s="359"/>
      <c r="V6" s="376" t="s">
        <v>1891</v>
      </c>
      <c r="W6" s="171"/>
      <c r="X6" s="171"/>
      <c r="Y6" s="171"/>
      <c r="Z6" s="171"/>
      <c r="AA6" s="171"/>
      <c r="AB6" s="377"/>
    </row>
    <row r="7" spans="1:28" ht="19.5" customHeight="1">
      <c r="A7" s="173" t="s">
        <v>186</v>
      </c>
      <c r="B7" s="173" t="s">
        <v>186</v>
      </c>
      <c r="C7" s="165"/>
      <c r="D7" s="165"/>
      <c r="E7" s="173"/>
      <c r="F7" s="174"/>
      <c r="G7" s="165"/>
      <c r="H7" s="165"/>
      <c r="I7" s="165"/>
      <c r="J7" s="165"/>
      <c r="K7" s="363"/>
      <c r="L7" s="157" t="str">
        <f t="shared" ref="L7:L19" si="0">IF($A7="入力規則","-",30-LENB(G7))</f>
        <v>-</v>
      </c>
      <c r="M7" s="157" t="str">
        <f t="shared" ref="M7:M19" si="1">IF($A7="入力規則","-",30-LENB(H7))</f>
        <v>-</v>
      </c>
      <c r="N7" s="157" t="str">
        <f t="shared" ref="N7:N19" si="2">IF($A7="入力規則","-",30-LENB(I7))</f>
        <v>-</v>
      </c>
      <c r="O7" s="157" t="str">
        <f>IF($A7="入力規則","-",IF($A7="Yahoo!",80-LENB(J7),90-LENB(J7)))</f>
        <v>-</v>
      </c>
      <c r="P7" s="157" t="str">
        <f t="shared" ref="P7:P19" si="3">IF($A7="入力規則","-",IF($A7="Yahoo!",80-LENB(K7),90-LENB(K7)))</f>
        <v>-</v>
      </c>
      <c r="Q7" s="175" t="str">
        <f t="shared" ref="Q7:Q19" si="4">IF(V7="","※関数で自動入力",LEFT(MID(V7,FIND("://",V7)+3,999),FIND("/",MID(V7,FIND("://",V7)+3,999),1)))</f>
        <v>※関数で自動入力</v>
      </c>
      <c r="R7" s="173"/>
      <c r="S7" s="173"/>
      <c r="T7" s="157" t="str">
        <f>IF($A7="入力規則","-",15-LENB(R7))</f>
        <v>-</v>
      </c>
      <c r="U7" s="157" t="str">
        <f t="shared" ref="U7:U19" si="5">IF($A7="入力規則","-",15-LENB(S7))</f>
        <v>-</v>
      </c>
      <c r="V7" s="173"/>
      <c r="W7" s="173"/>
      <c r="X7" s="173"/>
      <c r="Y7" s="165"/>
      <c r="Z7" s="165"/>
      <c r="AA7" s="173"/>
      <c r="AB7" s="168" t="str">
        <f>A7&amp;COUNTIF(A$7:A7,A7)</f>
        <v>入力規則1</v>
      </c>
    </row>
    <row r="8" spans="1:28" ht="19.5" customHeight="1">
      <c r="A8" s="173" t="s">
        <v>186</v>
      </c>
      <c r="B8" s="173" t="s">
        <v>186</v>
      </c>
      <c r="C8" s="165"/>
      <c r="D8" s="165"/>
      <c r="E8" s="173"/>
      <c r="F8" s="174"/>
      <c r="G8" s="165"/>
      <c r="H8" s="165"/>
      <c r="I8" s="165"/>
      <c r="J8" s="363"/>
      <c r="K8" s="363"/>
      <c r="L8" s="157" t="str">
        <f t="shared" si="0"/>
        <v>-</v>
      </c>
      <c r="M8" s="157" t="str">
        <f t="shared" si="1"/>
        <v>-</v>
      </c>
      <c r="N8" s="157" t="str">
        <f t="shared" si="2"/>
        <v>-</v>
      </c>
      <c r="O8" s="157" t="str">
        <f t="shared" ref="O8:O19" si="6">IF($A8="入力規則","-",IF($A8="Yahoo!",80-LENB(J8),90-LENB(J8)))</f>
        <v>-</v>
      </c>
      <c r="P8" s="157" t="str">
        <f t="shared" si="3"/>
        <v>-</v>
      </c>
      <c r="Q8" s="175" t="str">
        <f t="shared" si="4"/>
        <v>※関数で自動入力</v>
      </c>
      <c r="R8" s="173"/>
      <c r="S8" s="173"/>
      <c r="T8" s="157" t="str">
        <f t="shared" ref="T8:T19" si="7">IF($A8="入力規則","-",15-LENB(R8))</f>
        <v>-</v>
      </c>
      <c r="U8" s="157" t="str">
        <f t="shared" si="5"/>
        <v>-</v>
      </c>
      <c r="V8" s="173"/>
      <c r="W8" s="173"/>
      <c r="X8" s="173"/>
      <c r="Y8" s="165"/>
      <c r="Z8" s="165"/>
      <c r="AA8" s="173"/>
      <c r="AB8" s="168" t="str">
        <f>A8&amp;COUNTIF(A$7:A8,A8)</f>
        <v>入力規則2</v>
      </c>
    </row>
    <row r="9" spans="1:28" ht="19.5" customHeight="1">
      <c r="A9" s="173" t="s">
        <v>186</v>
      </c>
      <c r="B9" s="173" t="s">
        <v>186</v>
      </c>
      <c r="C9" s="165"/>
      <c r="D9" s="165"/>
      <c r="E9" s="173"/>
      <c r="F9" s="174"/>
      <c r="G9" s="165"/>
      <c r="H9" s="165"/>
      <c r="I9" s="165"/>
      <c r="J9" s="363"/>
      <c r="K9" s="363"/>
      <c r="L9" s="157" t="str">
        <f t="shared" si="0"/>
        <v>-</v>
      </c>
      <c r="M9" s="157" t="str">
        <f t="shared" si="1"/>
        <v>-</v>
      </c>
      <c r="N9" s="157" t="str">
        <f t="shared" si="2"/>
        <v>-</v>
      </c>
      <c r="O9" s="157" t="str">
        <f t="shared" si="6"/>
        <v>-</v>
      </c>
      <c r="P9" s="157" t="str">
        <f t="shared" si="3"/>
        <v>-</v>
      </c>
      <c r="Q9" s="175" t="str">
        <f t="shared" si="4"/>
        <v>※関数で自動入力</v>
      </c>
      <c r="R9" s="173"/>
      <c r="S9" s="173"/>
      <c r="T9" s="157" t="str">
        <f t="shared" si="7"/>
        <v>-</v>
      </c>
      <c r="U9" s="157" t="str">
        <f t="shared" si="5"/>
        <v>-</v>
      </c>
      <c r="V9" s="173"/>
      <c r="W9" s="173"/>
      <c r="X9" s="173"/>
      <c r="Y9" s="165"/>
      <c r="Z9" s="165"/>
      <c r="AA9" s="173"/>
      <c r="AB9" s="168" t="str">
        <f>A9&amp;COUNTIF(A$7:A9,A9)</f>
        <v>入力規則3</v>
      </c>
    </row>
    <row r="10" spans="1:28" ht="19.5" customHeight="1">
      <c r="A10" s="173" t="s">
        <v>186</v>
      </c>
      <c r="B10" s="173" t="s">
        <v>186</v>
      </c>
      <c r="C10" s="165"/>
      <c r="D10" s="165"/>
      <c r="E10" s="173"/>
      <c r="F10" s="174"/>
      <c r="G10" s="165"/>
      <c r="H10" s="165"/>
      <c r="I10" s="165"/>
      <c r="J10" s="363"/>
      <c r="K10" s="363"/>
      <c r="L10" s="157" t="str">
        <f t="shared" si="0"/>
        <v>-</v>
      </c>
      <c r="M10" s="157" t="str">
        <f t="shared" si="1"/>
        <v>-</v>
      </c>
      <c r="N10" s="157" t="str">
        <f t="shared" si="2"/>
        <v>-</v>
      </c>
      <c r="O10" s="157" t="str">
        <f t="shared" si="6"/>
        <v>-</v>
      </c>
      <c r="P10" s="157" t="str">
        <f t="shared" si="3"/>
        <v>-</v>
      </c>
      <c r="Q10" s="175" t="str">
        <f t="shared" si="4"/>
        <v>※関数で自動入力</v>
      </c>
      <c r="R10" s="173"/>
      <c r="S10" s="173"/>
      <c r="T10" s="157" t="str">
        <f t="shared" si="7"/>
        <v>-</v>
      </c>
      <c r="U10" s="157" t="str">
        <f t="shared" si="5"/>
        <v>-</v>
      </c>
      <c r="V10" s="173"/>
      <c r="W10" s="173"/>
      <c r="X10" s="173"/>
      <c r="Y10" s="165"/>
      <c r="Z10" s="165"/>
      <c r="AA10" s="173"/>
      <c r="AB10" s="168" t="str">
        <f>A10&amp;COUNTIF(A$7:A10,A10)</f>
        <v>入力規則4</v>
      </c>
    </row>
    <row r="11" spans="1:28" ht="19.5" customHeight="1">
      <c r="A11" s="173" t="s">
        <v>186</v>
      </c>
      <c r="B11" s="173" t="s">
        <v>186</v>
      </c>
      <c r="C11" s="165"/>
      <c r="D11" s="165"/>
      <c r="E11" s="173"/>
      <c r="F11" s="174"/>
      <c r="G11" s="165"/>
      <c r="H11" s="165"/>
      <c r="I11" s="165"/>
      <c r="J11" s="363"/>
      <c r="K11" s="363"/>
      <c r="L11" s="157" t="str">
        <f t="shared" si="0"/>
        <v>-</v>
      </c>
      <c r="M11" s="157" t="str">
        <f t="shared" si="1"/>
        <v>-</v>
      </c>
      <c r="N11" s="157" t="str">
        <f t="shared" si="2"/>
        <v>-</v>
      </c>
      <c r="O11" s="157" t="str">
        <f t="shared" si="6"/>
        <v>-</v>
      </c>
      <c r="P11" s="157" t="str">
        <f t="shared" si="3"/>
        <v>-</v>
      </c>
      <c r="Q11" s="175" t="str">
        <f t="shared" si="4"/>
        <v>※関数で自動入力</v>
      </c>
      <c r="R11" s="173"/>
      <c r="S11" s="173"/>
      <c r="T11" s="157" t="str">
        <f t="shared" si="7"/>
        <v>-</v>
      </c>
      <c r="U11" s="157" t="str">
        <f t="shared" si="5"/>
        <v>-</v>
      </c>
      <c r="V11" s="173"/>
      <c r="W11" s="173"/>
      <c r="X11" s="173"/>
      <c r="Y11" s="165"/>
      <c r="Z11" s="165"/>
      <c r="AA11" s="173"/>
      <c r="AB11" s="168" t="str">
        <f>A11&amp;COUNTIF(A$7:A11,A11)</f>
        <v>入力規則5</v>
      </c>
    </row>
    <row r="12" spans="1:28" ht="19.5" customHeight="1">
      <c r="A12" s="173" t="s">
        <v>186</v>
      </c>
      <c r="B12" s="173" t="s">
        <v>186</v>
      </c>
      <c r="C12" s="165"/>
      <c r="D12" s="165"/>
      <c r="E12" s="173"/>
      <c r="F12" s="174"/>
      <c r="G12" s="165"/>
      <c r="H12" s="165"/>
      <c r="I12" s="165"/>
      <c r="J12" s="363"/>
      <c r="K12" s="363"/>
      <c r="L12" s="157" t="str">
        <f t="shared" si="0"/>
        <v>-</v>
      </c>
      <c r="M12" s="157" t="str">
        <f t="shared" si="1"/>
        <v>-</v>
      </c>
      <c r="N12" s="157" t="str">
        <f t="shared" si="2"/>
        <v>-</v>
      </c>
      <c r="O12" s="157" t="str">
        <f t="shared" si="6"/>
        <v>-</v>
      </c>
      <c r="P12" s="157" t="str">
        <f t="shared" si="3"/>
        <v>-</v>
      </c>
      <c r="Q12" s="175" t="str">
        <f t="shared" si="4"/>
        <v>※関数で自動入力</v>
      </c>
      <c r="R12" s="173"/>
      <c r="S12" s="173"/>
      <c r="T12" s="157" t="str">
        <f t="shared" si="7"/>
        <v>-</v>
      </c>
      <c r="U12" s="157" t="str">
        <f t="shared" si="5"/>
        <v>-</v>
      </c>
      <c r="V12" s="173"/>
      <c r="W12" s="173"/>
      <c r="X12" s="173"/>
      <c r="Y12" s="165"/>
      <c r="Z12" s="165"/>
      <c r="AA12" s="173"/>
      <c r="AB12" s="168" t="str">
        <f>A12&amp;COUNTIF(A$7:A12,A12)</f>
        <v>入力規則6</v>
      </c>
    </row>
    <row r="13" spans="1:28" ht="19.5" customHeight="1">
      <c r="A13" s="173" t="s">
        <v>186</v>
      </c>
      <c r="B13" s="173" t="s">
        <v>186</v>
      </c>
      <c r="C13" s="165"/>
      <c r="D13" s="165"/>
      <c r="E13" s="173"/>
      <c r="F13" s="174"/>
      <c r="G13" s="165"/>
      <c r="H13" s="165"/>
      <c r="I13" s="165"/>
      <c r="J13" s="363"/>
      <c r="K13" s="363"/>
      <c r="L13" s="157" t="str">
        <f t="shared" si="0"/>
        <v>-</v>
      </c>
      <c r="M13" s="157" t="str">
        <f t="shared" si="1"/>
        <v>-</v>
      </c>
      <c r="N13" s="157" t="str">
        <f t="shared" si="2"/>
        <v>-</v>
      </c>
      <c r="O13" s="157" t="str">
        <f t="shared" si="6"/>
        <v>-</v>
      </c>
      <c r="P13" s="157" t="str">
        <f t="shared" si="3"/>
        <v>-</v>
      </c>
      <c r="Q13" s="175" t="str">
        <f t="shared" si="4"/>
        <v>※関数で自動入力</v>
      </c>
      <c r="R13" s="173"/>
      <c r="S13" s="173"/>
      <c r="T13" s="157" t="str">
        <f t="shared" si="7"/>
        <v>-</v>
      </c>
      <c r="U13" s="157" t="str">
        <f t="shared" si="5"/>
        <v>-</v>
      </c>
      <c r="V13" s="173"/>
      <c r="W13" s="173"/>
      <c r="X13" s="173"/>
      <c r="Y13" s="165"/>
      <c r="Z13" s="165"/>
      <c r="AA13" s="173"/>
      <c r="AB13" s="168" t="str">
        <f>A13&amp;COUNTIF(A$7:A13,A13)</f>
        <v>入力規則7</v>
      </c>
    </row>
    <row r="14" spans="1:28" ht="19.5" customHeight="1">
      <c r="A14" s="173" t="s">
        <v>186</v>
      </c>
      <c r="B14" s="173" t="s">
        <v>186</v>
      </c>
      <c r="C14" s="165"/>
      <c r="D14" s="165"/>
      <c r="E14" s="173"/>
      <c r="F14" s="174"/>
      <c r="G14" s="165"/>
      <c r="H14" s="165"/>
      <c r="I14" s="165"/>
      <c r="J14" s="363"/>
      <c r="K14" s="363"/>
      <c r="L14" s="157" t="str">
        <f t="shared" si="0"/>
        <v>-</v>
      </c>
      <c r="M14" s="157" t="str">
        <f t="shared" si="1"/>
        <v>-</v>
      </c>
      <c r="N14" s="157" t="str">
        <f t="shared" si="2"/>
        <v>-</v>
      </c>
      <c r="O14" s="157" t="str">
        <f t="shared" si="6"/>
        <v>-</v>
      </c>
      <c r="P14" s="157" t="str">
        <f t="shared" si="3"/>
        <v>-</v>
      </c>
      <c r="Q14" s="175" t="str">
        <f t="shared" si="4"/>
        <v>※関数で自動入力</v>
      </c>
      <c r="R14" s="173"/>
      <c r="S14" s="173"/>
      <c r="T14" s="157" t="str">
        <f t="shared" si="7"/>
        <v>-</v>
      </c>
      <c r="U14" s="157" t="str">
        <f t="shared" si="5"/>
        <v>-</v>
      </c>
      <c r="V14" s="173"/>
      <c r="W14" s="173"/>
      <c r="X14" s="173"/>
      <c r="Y14" s="165"/>
      <c r="Z14" s="165"/>
      <c r="AA14" s="173"/>
      <c r="AB14" s="168" t="str">
        <f>A14&amp;COUNTIF(A$7:A14,A14)</f>
        <v>入力規則8</v>
      </c>
    </row>
    <row r="15" spans="1:28" ht="19.5" customHeight="1">
      <c r="A15" s="173" t="s">
        <v>186</v>
      </c>
      <c r="B15" s="173" t="s">
        <v>186</v>
      </c>
      <c r="C15" s="165"/>
      <c r="D15" s="165"/>
      <c r="E15" s="173"/>
      <c r="F15" s="174"/>
      <c r="G15" s="165"/>
      <c r="H15" s="165"/>
      <c r="I15" s="165"/>
      <c r="J15" s="363"/>
      <c r="K15" s="363"/>
      <c r="L15" s="157" t="str">
        <f t="shared" si="0"/>
        <v>-</v>
      </c>
      <c r="M15" s="157" t="str">
        <f t="shared" si="1"/>
        <v>-</v>
      </c>
      <c r="N15" s="157" t="str">
        <f t="shared" si="2"/>
        <v>-</v>
      </c>
      <c r="O15" s="157" t="str">
        <f t="shared" si="6"/>
        <v>-</v>
      </c>
      <c r="P15" s="157" t="str">
        <f t="shared" si="3"/>
        <v>-</v>
      </c>
      <c r="Q15" s="175" t="str">
        <f t="shared" si="4"/>
        <v>※関数で自動入力</v>
      </c>
      <c r="R15" s="173"/>
      <c r="S15" s="173"/>
      <c r="T15" s="157" t="str">
        <f t="shared" si="7"/>
        <v>-</v>
      </c>
      <c r="U15" s="157" t="str">
        <f t="shared" si="5"/>
        <v>-</v>
      </c>
      <c r="V15" s="173"/>
      <c r="W15" s="173"/>
      <c r="X15" s="173"/>
      <c r="Y15" s="165"/>
      <c r="Z15" s="165"/>
      <c r="AA15" s="173"/>
      <c r="AB15" s="168" t="str">
        <f>A15&amp;COUNTIF(A$7:A15,A15)</f>
        <v>入力規則9</v>
      </c>
    </row>
    <row r="16" spans="1:28" ht="19.5" customHeight="1">
      <c r="A16" s="173" t="s">
        <v>186</v>
      </c>
      <c r="B16" s="173" t="s">
        <v>186</v>
      </c>
      <c r="C16" s="165"/>
      <c r="D16" s="165"/>
      <c r="E16" s="173"/>
      <c r="F16" s="174"/>
      <c r="G16" s="165"/>
      <c r="H16" s="165"/>
      <c r="I16" s="165"/>
      <c r="J16" s="363"/>
      <c r="K16" s="363"/>
      <c r="L16" s="157" t="str">
        <f t="shared" si="0"/>
        <v>-</v>
      </c>
      <c r="M16" s="157" t="str">
        <f t="shared" si="1"/>
        <v>-</v>
      </c>
      <c r="N16" s="157" t="str">
        <f t="shared" si="2"/>
        <v>-</v>
      </c>
      <c r="O16" s="157" t="str">
        <f t="shared" si="6"/>
        <v>-</v>
      </c>
      <c r="P16" s="157" t="str">
        <f t="shared" si="3"/>
        <v>-</v>
      </c>
      <c r="Q16" s="175" t="str">
        <f t="shared" si="4"/>
        <v>※関数で自動入力</v>
      </c>
      <c r="R16" s="173"/>
      <c r="S16" s="173"/>
      <c r="T16" s="157" t="str">
        <f t="shared" si="7"/>
        <v>-</v>
      </c>
      <c r="U16" s="157" t="str">
        <f t="shared" si="5"/>
        <v>-</v>
      </c>
      <c r="V16" s="173"/>
      <c r="W16" s="173"/>
      <c r="X16" s="173"/>
      <c r="Y16" s="165"/>
      <c r="Z16" s="165"/>
      <c r="AA16" s="173"/>
      <c r="AB16" s="168" t="str">
        <f>A16&amp;COUNTIF(A$7:A16,A16)</f>
        <v>入力規則10</v>
      </c>
    </row>
    <row r="17" spans="1:28" ht="19.5" customHeight="1">
      <c r="A17" s="173" t="s">
        <v>186</v>
      </c>
      <c r="B17" s="173" t="s">
        <v>186</v>
      </c>
      <c r="C17" s="165"/>
      <c r="D17" s="165"/>
      <c r="E17" s="173"/>
      <c r="F17" s="174"/>
      <c r="G17" s="165"/>
      <c r="H17" s="165"/>
      <c r="I17" s="165"/>
      <c r="J17" s="363"/>
      <c r="K17" s="363"/>
      <c r="L17" s="157" t="str">
        <f t="shared" si="0"/>
        <v>-</v>
      </c>
      <c r="M17" s="157" t="str">
        <f t="shared" si="1"/>
        <v>-</v>
      </c>
      <c r="N17" s="157" t="str">
        <f t="shared" si="2"/>
        <v>-</v>
      </c>
      <c r="O17" s="157" t="str">
        <f t="shared" si="6"/>
        <v>-</v>
      </c>
      <c r="P17" s="157" t="str">
        <f t="shared" si="3"/>
        <v>-</v>
      </c>
      <c r="Q17" s="175" t="str">
        <f t="shared" si="4"/>
        <v>※関数で自動入力</v>
      </c>
      <c r="R17" s="173"/>
      <c r="S17" s="173"/>
      <c r="T17" s="157" t="str">
        <f t="shared" si="7"/>
        <v>-</v>
      </c>
      <c r="U17" s="157" t="str">
        <f t="shared" si="5"/>
        <v>-</v>
      </c>
      <c r="V17" s="173"/>
      <c r="W17" s="173"/>
      <c r="X17" s="173"/>
      <c r="Y17" s="165"/>
      <c r="Z17" s="165"/>
      <c r="AA17" s="173"/>
      <c r="AB17" s="168" t="str">
        <f>A17&amp;COUNTIF(A$7:A17,A17)</f>
        <v>入力規則11</v>
      </c>
    </row>
    <row r="18" spans="1:28" ht="19.5" customHeight="1">
      <c r="A18" s="173" t="s">
        <v>186</v>
      </c>
      <c r="B18" s="173" t="s">
        <v>186</v>
      </c>
      <c r="C18" s="165"/>
      <c r="D18" s="165"/>
      <c r="E18" s="173"/>
      <c r="F18" s="174"/>
      <c r="G18" s="165"/>
      <c r="H18" s="165"/>
      <c r="I18" s="165"/>
      <c r="J18" s="363"/>
      <c r="K18" s="363"/>
      <c r="L18" s="157" t="str">
        <f t="shared" si="0"/>
        <v>-</v>
      </c>
      <c r="M18" s="157" t="str">
        <f t="shared" si="1"/>
        <v>-</v>
      </c>
      <c r="N18" s="157" t="str">
        <f t="shared" si="2"/>
        <v>-</v>
      </c>
      <c r="O18" s="157" t="str">
        <f t="shared" si="6"/>
        <v>-</v>
      </c>
      <c r="P18" s="157" t="str">
        <f t="shared" si="3"/>
        <v>-</v>
      </c>
      <c r="Q18" s="175" t="str">
        <f t="shared" si="4"/>
        <v>※関数で自動入力</v>
      </c>
      <c r="R18" s="173"/>
      <c r="S18" s="173"/>
      <c r="T18" s="157" t="str">
        <f t="shared" si="7"/>
        <v>-</v>
      </c>
      <c r="U18" s="157" t="str">
        <f t="shared" si="5"/>
        <v>-</v>
      </c>
      <c r="V18" s="173"/>
      <c r="W18" s="173"/>
      <c r="X18" s="173"/>
      <c r="Y18" s="165"/>
      <c r="Z18" s="165"/>
      <c r="AA18" s="173"/>
      <c r="AB18" s="168" t="str">
        <f>A18&amp;COUNTIF(A$7:A18,A18)</f>
        <v>入力規則12</v>
      </c>
    </row>
    <row r="19" spans="1:28" ht="19.5" customHeight="1">
      <c r="A19" s="173" t="s">
        <v>186</v>
      </c>
      <c r="B19" s="173" t="s">
        <v>186</v>
      </c>
      <c r="C19" s="165"/>
      <c r="D19" s="165"/>
      <c r="E19" s="173"/>
      <c r="F19" s="174"/>
      <c r="G19" s="165"/>
      <c r="H19" s="165"/>
      <c r="I19" s="165"/>
      <c r="J19" s="363"/>
      <c r="K19" s="363"/>
      <c r="L19" s="157" t="str">
        <f t="shared" si="0"/>
        <v>-</v>
      </c>
      <c r="M19" s="157" t="str">
        <f t="shared" si="1"/>
        <v>-</v>
      </c>
      <c r="N19" s="157" t="str">
        <f t="shared" si="2"/>
        <v>-</v>
      </c>
      <c r="O19" s="157" t="str">
        <f t="shared" si="6"/>
        <v>-</v>
      </c>
      <c r="P19" s="157" t="str">
        <f t="shared" si="3"/>
        <v>-</v>
      </c>
      <c r="Q19" s="175" t="str">
        <f t="shared" si="4"/>
        <v>※関数で自動入力</v>
      </c>
      <c r="R19" s="173"/>
      <c r="S19" s="173"/>
      <c r="T19" s="157" t="str">
        <f t="shared" si="7"/>
        <v>-</v>
      </c>
      <c r="U19" s="157" t="str">
        <f t="shared" si="5"/>
        <v>-</v>
      </c>
      <c r="V19" s="173"/>
      <c r="W19" s="173"/>
      <c r="X19" s="173"/>
      <c r="Y19" s="165"/>
      <c r="Z19" s="165"/>
      <c r="AA19" s="173"/>
      <c r="AB19" s="168" t="str">
        <f>A19&amp;COUNTIF(A$7:A19,A19)</f>
        <v>入力規則13</v>
      </c>
    </row>
    <row r="20" spans="1:28" ht="19.5" customHeight="1">
      <c r="AB20" s="168"/>
    </row>
  </sheetData>
  <mergeCells count="3">
    <mergeCell ref="F3:K3"/>
    <mergeCell ref="L5:P5"/>
    <mergeCell ref="T5:U5"/>
  </mergeCells>
  <phoneticPr fontId="20"/>
  <conditionalFormatting sqref="R7:S19">
    <cfRule type="expression" dxfId="168" priority="15">
      <formula>LENB(R7)&gt;15</formula>
    </cfRule>
  </conditionalFormatting>
  <conditionalFormatting sqref="F7:F19">
    <cfRule type="expression" dxfId="167" priority="14">
      <formula>$A7="Google"</formula>
    </cfRule>
  </conditionalFormatting>
  <conditionalFormatting sqref="G7:I19">
    <cfRule type="expression" dxfId="166" priority="12">
      <formula>LENB(G7)&gt;30</formula>
    </cfRule>
  </conditionalFormatting>
  <conditionalFormatting sqref="J7:J19">
    <cfRule type="expression" dxfId="165" priority="10">
      <formula>IF($A7="Yahoo!",LENB(J7)&gt;80,LENB(J7)&gt;90)</formula>
    </cfRule>
  </conditionalFormatting>
  <conditionalFormatting sqref="I7:I19">
    <cfRule type="expression" dxfId="164" priority="8">
      <formula>$A7="Yahoo!"</formula>
    </cfRule>
  </conditionalFormatting>
  <conditionalFormatting sqref="K8:K19">
    <cfRule type="expression" dxfId="163" priority="7">
      <formula>LENB(K8)&gt;90</formula>
    </cfRule>
  </conditionalFormatting>
  <conditionalFormatting sqref="K8:K19">
    <cfRule type="expression" dxfId="162" priority="6">
      <formula>$A8="Yahoo!"</formula>
    </cfRule>
  </conditionalFormatting>
  <conditionalFormatting sqref="Y7:Z19">
    <cfRule type="expression" dxfId="161" priority="5">
      <formula>LENB(Y7)&gt;30</formula>
    </cfRule>
  </conditionalFormatting>
  <conditionalFormatting sqref="Y7:Z19">
    <cfRule type="expression" dxfId="160" priority="4">
      <formula>$A7="Yahoo!"</formula>
    </cfRule>
  </conditionalFormatting>
  <conditionalFormatting sqref="K7:K19">
    <cfRule type="expression" dxfId="159" priority="3">
      <formula>IF($A7="Yahoo!",LENB(K7)&gt;80,LENB(K7)&gt;90)</formula>
    </cfRule>
  </conditionalFormatting>
  <conditionalFormatting sqref="K7">
    <cfRule type="expression" dxfId="158" priority="2">
      <formula>LENB(K7)&gt;90</formula>
    </cfRule>
  </conditionalFormatting>
  <conditionalFormatting sqref="K7">
    <cfRule type="expression" dxfId="157" priority="1">
      <formula>$A7="Yahoo!"</formula>
    </cfRule>
  </conditionalFormatting>
  <dataValidations count="2">
    <dataValidation type="list" allowBlank="1" showInputMessage="1" sqref="A7:A19" xr:uid="{C5A35D41-624B-4B18-B5EB-C5B4AD5730B8}">
      <formula1>媒体</formula1>
    </dataValidation>
    <dataValidation type="list" allowBlank="1" showInputMessage="1" sqref="B7:B19" xr:uid="{00000000-0002-0000-0B00-000001000000}">
      <formula1>ステータス</formula1>
    </dataValidation>
  </dataValidations>
  <pageMargins left="0.7" right="0.7" top="0.75" bottom="0.75" header="0.3" footer="0.3"/>
  <pageSetup paperSize="9" scale="25"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theme="5" tint="0.79998168889431442"/>
    <pageSetUpPr fitToPage="1"/>
  </sheetPr>
  <dimension ref="A1:W52"/>
  <sheetViews>
    <sheetView showGridLines="0" view="pageBreakPreview" zoomScale="85" zoomScaleNormal="100" zoomScaleSheetLayoutView="85" workbookViewId="0">
      <pane ySplit="6" topLeftCell="A7" activePane="bottomLeft" state="frozen"/>
      <selection pane="bottomLeft"/>
    </sheetView>
  </sheetViews>
  <sheetFormatPr defaultColWidth="8.88671875" defaultRowHeight="19.5" customHeight="1"/>
  <cols>
    <col min="1" max="1" width="7" style="143" customWidth="1"/>
    <col min="2" max="2" width="10.77734375" style="143" bestFit="1" customWidth="1"/>
    <col min="3" max="5" width="25.77734375" style="143" customWidth="1"/>
    <col min="6" max="6" width="7.21875" style="143" bestFit="1" customWidth="1"/>
    <col min="7" max="7" width="41.5546875" style="142" customWidth="1"/>
    <col min="8" max="8" width="9.5546875" style="142" bestFit="1" customWidth="1"/>
    <col min="9" max="9" width="57.88671875" style="142" customWidth="1"/>
    <col min="10" max="10" width="9.5546875" style="142" bestFit="1" customWidth="1"/>
    <col min="11" max="12" width="3.109375" style="142" bestFit="1" customWidth="1"/>
    <col min="13" max="15" width="15.77734375" style="142" customWidth="1"/>
    <col min="16" max="17" width="3.109375" style="142" customWidth="1"/>
    <col min="18" max="18" width="26.77734375" style="142" customWidth="1"/>
    <col min="19" max="22" width="15.77734375" style="142" customWidth="1"/>
    <col min="23" max="23" width="8.88671875" style="142" hidden="1" customWidth="1"/>
    <col min="24" max="16384" width="8.88671875" style="142"/>
  </cols>
  <sheetData>
    <row r="1" spans="1:23" ht="19.5" customHeight="1">
      <c r="A1" s="114" t="str">
        <f>"Ver."&amp;変更履歴!$B$1</f>
        <v>Ver.10.1</v>
      </c>
      <c r="W1" s="168"/>
    </row>
    <row r="2" spans="1:23" ht="19.5" customHeight="1">
      <c r="A2" s="310" t="s">
        <v>1555</v>
      </c>
      <c r="W2" s="168"/>
    </row>
    <row r="3" spans="1:23" ht="76.5" customHeight="1">
      <c r="A3" s="310"/>
      <c r="E3" s="486" t="s">
        <v>1556</v>
      </c>
      <c r="F3" s="487"/>
      <c r="G3" s="487"/>
      <c r="H3" s="487"/>
      <c r="I3" s="487"/>
      <c r="J3" s="488"/>
      <c r="W3" s="168"/>
    </row>
    <row r="4" spans="1:23" ht="20.25" customHeight="1">
      <c r="A4" s="310"/>
      <c r="W4" s="168"/>
    </row>
    <row r="5" spans="1:23" s="143" customFormat="1" ht="46.5" customHeight="1">
      <c r="A5" s="311" t="s">
        <v>18</v>
      </c>
      <c r="B5" s="311" t="s">
        <v>14</v>
      </c>
      <c r="C5" s="311" t="s">
        <v>1557</v>
      </c>
      <c r="D5" s="311" t="s">
        <v>7</v>
      </c>
      <c r="E5" s="312" t="s">
        <v>1558</v>
      </c>
      <c r="F5" s="312" t="s">
        <v>1559</v>
      </c>
      <c r="G5" s="312" t="s">
        <v>1560</v>
      </c>
      <c r="H5" s="313" t="s">
        <v>1561</v>
      </c>
      <c r="I5" s="312" t="s">
        <v>1562</v>
      </c>
      <c r="J5" s="313" t="s">
        <v>1563</v>
      </c>
      <c r="K5" s="493" t="s">
        <v>250</v>
      </c>
      <c r="L5" s="493"/>
      <c r="M5" s="314" t="s">
        <v>1564</v>
      </c>
      <c r="N5" s="312" t="s">
        <v>1565</v>
      </c>
      <c r="O5" s="312" t="s">
        <v>1566</v>
      </c>
      <c r="P5" s="494" t="s">
        <v>250</v>
      </c>
      <c r="Q5" s="495"/>
      <c r="R5" s="312" t="s">
        <v>20</v>
      </c>
      <c r="S5" s="312" t="s">
        <v>25</v>
      </c>
      <c r="T5" s="312" t="s">
        <v>1567</v>
      </c>
      <c r="U5" s="312" t="s">
        <v>669</v>
      </c>
      <c r="V5" s="312" t="s">
        <v>1568</v>
      </c>
      <c r="W5" s="168"/>
    </row>
    <row r="6" spans="1:23" s="143" customFormat="1" ht="15">
      <c r="A6" s="312"/>
      <c r="B6" s="312"/>
      <c r="C6" s="376" t="s">
        <v>1891</v>
      </c>
      <c r="D6" s="375" t="s">
        <v>1892</v>
      </c>
      <c r="E6" s="312"/>
      <c r="F6" s="312"/>
      <c r="G6" s="376" t="s">
        <v>1891</v>
      </c>
      <c r="H6" s="313"/>
      <c r="I6" s="376" t="s">
        <v>1891</v>
      </c>
      <c r="J6" s="313"/>
      <c r="K6" s="365"/>
      <c r="L6" s="365"/>
      <c r="M6" s="314"/>
      <c r="N6" s="312"/>
      <c r="O6" s="312"/>
      <c r="P6" s="314"/>
      <c r="Q6" s="378"/>
      <c r="R6" s="376" t="s">
        <v>1891</v>
      </c>
      <c r="S6" s="312"/>
      <c r="T6" s="312"/>
      <c r="U6" s="312"/>
      <c r="V6" s="312"/>
      <c r="W6" s="168"/>
    </row>
    <row r="7" spans="1:23" ht="19.5" customHeight="1">
      <c r="A7" s="362" t="s">
        <v>19</v>
      </c>
      <c r="B7" s="362" t="s">
        <v>186</v>
      </c>
      <c r="C7" s="363"/>
      <c r="D7" s="360"/>
      <c r="E7" s="360"/>
      <c r="F7" s="364">
        <v>1</v>
      </c>
      <c r="G7" s="165"/>
      <c r="H7" s="165" t="s">
        <v>186</v>
      </c>
      <c r="I7" s="165"/>
      <c r="J7" s="173" t="s">
        <v>186</v>
      </c>
      <c r="K7" s="157">
        <f>IF($A7="入力規則","-",30-LENB(G7))</f>
        <v>30</v>
      </c>
      <c r="L7" s="157">
        <f>IF($A7="入力規則","-",90-LENB(I7))</f>
        <v>90</v>
      </c>
      <c r="M7" s="366" t="str">
        <f>IF(R7="","※関数で自動入力",LEFT(MID(R7,FIND("://",R7)+3,999),FIND("/",MID(R7,FIND("://",R7)+3,999),1)))</f>
        <v>※関数で自動入力</v>
      </c>
      <c r="N7" s="360"/>
      <c r="O7" s="360"/>
      <c r="P7" s="361">
        <f>IF($A7="入力規則","-",15-LENB(N7))</f>
        <v>15</v>
      </c>
      <c r="Q7" s="361">
        <f>IF($A7="入力規則","-",15-LENB(O7))</f>
        <v>15</v>
      </c>
      <c r="R7" s="360"/>
      <c r="S7" s="360"/>
      <c r="T7" s="360"/>
      <c r="U7" s="360"/>
      <c r="V7" s="360"/>
      <c r="W7" s="168" t="str">
        <f>A7&amp;COUNTIF(A$7:A7,A7)</f>
        <v>Google1</v>
      </c>
    </row>
    <row r="8" spans="1:23" ht="19.5" customHeight="1">
      <c r="A8" s="329" t="s">
        <v>1281</v>
      </c>
      <c r="B8" s="329" t="s">
        <v>1281</v>
      </c>
      <c r="C8" s="329" t="s">
        <v>1281</v>
      </c>
      <c r="D8" s="329" t="s">
        <v>1281</v>
      </c>
      <c r="E8" s="329" t="s">
        <v>1281</v>
      </c>
      <c r="F8" s="329" t="s">
        <v>1281</v>
      </c>
      <c r="G8" s="165"/>
      <c r="H8" s="165" t="s">
        <v>186</v>
      </c>
      <c r="I8" s="165"/>
      <c r="J8" s="173" t="s">
        <v>186</v>
      </c>
      <c r="K8" s="157">
        <f>IF($A8="入力規則","-",30-LENB(G8))</f>
        <v>30</v>
      </c>
      <c r="L8" s="157">
        <f>IF($A8="入力規則","-",90-LENB(I8))</f>
        <v>90</v>
      </c>
      <c r="M8" s="329" t="s">
        <v>1281</v>
      </c>
      <c r="N8" s="329" t="s">
        <v>1281</v>
      </c>
      <c r="O8" s="329" t="s">
        <v>1281</v>
      </c>
      <c r="P8" s="329" t="s">
        <v>1281</v>
      </c>
      <c r="Q8" s="329" t="s">
        <v>1281</v>
      </c>
      <c r="R8" s="329" t="s">
        <v>1281</v>
      </c>
      <c r="S8" s="329" t="s">
        <v>1281</v>
      </c>
      <c r="T8" s="329" t="s">
        <v>1281</v>
      </c>
      <c r="U8" s="329" t="s">
        <v>1281</v>
      </c>
      <c r="V8" s="329" t="s">
        <v>1281</v>
      </c>
      <c r="W8" s="168"/>
    </row>
    <row r="9" spans="1:23" ht="19.5" customHeight="1">
      <c r="A9" s="329" t="s">
        <v>1281</v>
      </c>
      <c r="B9" s="329" t="s">
        <v>1281</v>
      </c>
      <c r="C9" s="329" t="s">
        <v>1281</v>
      </c>
      <c r="D9" s="329" t="s">
        <v>1281</v>
      </c>
      <c r="E9" s="329" t="s">
        <v>1281</v>
      </c>
      <c r="F9" s="329" t="s">
        <v>1281</v>
      </c>
      <c r="G9" s="165"/>
      <c r="H9" s="165" t="s">
        <v>186</v>
      </c>
      <c r="I9" s="165"/>
      <c r="J9" s="173" t="s">
        <v>186</v>
      </c>
      <c r="K9" s="157">
        <f>IF($A9="入力規則","-",30-LENB(G9))</f>
        <v>30</v>
      </c>
      <c r="L9" s="157">
        <f>IF($A9="入力規則","-",90-LENB(I9))</f>
        <v>90</v>
      </c>
      <c r="M9" s="329" t="s">
        <v>1281</v>
      </c>
      <c r="N9" s="329" t="s">
        <v>1281</v>
      </c>
      <c r="O9" s="329" t="s">
        <v>1281</v>
      </c>
      <c r="P9" s="329" t="s">
        <v>1281</v>
      </c>
      <c r="Q9" s="329" t="s">
        <v>1281</v>
      </c>
      <c r="R9" s="329" t="s">
        <v>1281</v>
      </c>
      <c r="S9" s="329" t="s">
        <v>1281</v>
      </c>
      <c r="T9" s="329" t="s">
        <v>1281</v>
      </c>
      <c r="U9" s="329" t="s">
        <v>1281</v>
      </c>
      <c r="V9" s="329" t="s">
        <v>1281</v>
      </c>
      <c r="W9" s="168"/>
    </row>
    <row r="10" spans="1:23" ht="19.5" customHeight="1">
      <c r="A10" s="329" t="s">
        <v>1281</v>
      </c>
      <c r="B10" s="329" t="s">
        <v>1281</v>
      </c>
      <c r="C10" s="329" t="s">
        <v>1281</v>
      </c>
      <c r="D10" s="329" t="s">
        <v>1281</v>
      </c>
      <c r="E10" s="329" t="s">
        <v>1281</v>
      </c>
      <c r="F10" s="329" t="s">
        <v>1281</v>
      </c>
      <c r="G10" s="165"/>
      <c r="H10" s="165" t="s">
        <v>186</v>
      </c>
      <c r="I10" s="165"/>
      <c r="J10" s="173" t="s">
        <v>186</v>
      </c>
      <c r="K10" s="157">
        <f>IF($A10="入力規則","-",30-LENB(G10))</f>
        <v>30</v>
      </c>
      <c r="L10" s="157">
        <f>IF($A10="入力規則","-",90-LENB(I10))</f>
        <v>90</v>
      </c>
      <c r="M10" s="329" t="s">
        <v>1281</v>
      </c>
      <c r="N10" s="329" t="s">
        <v>1281</v>
      </c>
      <c r="O10" s="329" t="s">
        <v>1281</v>
      </c>
      <c r="P10" s="329" t="s">
        <v>1281</v>
      </c>
      <c r="Q10" s="329" t="s">
        <v>1281</v>
      </c>
      <c r="R10" s="329" t="s">
        <v>1281</v>
      </c>
      <c r="S10" s="329" t="s">
        <v>1281</v>
      </c>
      <c r="T10" s="329" t="s">
        <v>1281</v>
      </c>
      <c r="U10" s="329" t="s">
        <v>1281</v>
      </c>
      <c r="V10" s="329" t="s">
        <v>1281</v>
      </c>
      <c r="W10" s="168"/>
    </row>
    <row r="11" spans="1:23" ht="19.5" customHeight="1">
      <c r="A11" s="329" t="s">
        <v>1281</v>
      </c>
      <c r="B11" s="329" t="s">
        <v>1281</v>
      </c>
      <c r="C11" s="329" t="s">
        <v>1281</v>
      </c>
      <c r="D11" s="329" t="s">
        <v>1281</v>
      </c>
      <c r="E11" s="329" t="s">
        <v>1281</v>
      </c>
      <c r="F11" s="329" t="s">
        <v>1281</v>
      </c>
      <c r="G11" s="165"/>
      <c r="H11" s="165" t="s">
        <v>186</v>
      </c>
      <c r="I11" s="329" t="s">
        <v>1284</v>
      </c>
      <c r="J11" s="329" t="s">
        <v>1284</v>
      </c>
      <c r="K11" s="329" t="s">
        <v>580</v>
      </c>
      <c r="L11" s="329" t="s">
        <v>580</v>
      </c>
      <c r="M11" s="329" t="s">
        <v>1281</v>
      </c>
      <c r="N11" s="329" t="s">
        <v>1281</v>
      </c>
      <c r="O11" s="329" t="s">
        <v>1281</v>
      </c>
      <c r="P11" s="329" t="s">
        <v>1281</v>
      </c>
      <c r="Q11" s="329" t="s">
        <v>1281</v>
      </c>
      <c r="R11" s="329" t="s">
        <v>1281</v>
      </c>
      <c r="S11" s="329" t="s">
        <v>1281</v>
      </c>
      <c r="T11" s="329" t="s">
        <v>1281</v>
      </c>
      <c r="U11" s="329" t="s">
        <v>1281</v>
      </c>
      <c r="V11" s="329" t="s">
        <v>1281</v>
      </c>
      <c r="W11" s="168"/>
    </row>
    <row r="12" spans="1:23" ht="19.5" customHeight="1">
      <c r="A12" s="329" t="s">
        <v>1281</v>
      </c>
      <c r="B12" s="329" t="s">
        <v>1281</v>
      </c>
      <c r="C12" s="329" t="s">
        <v>1281</v>
      </c>
      <c r="D12" s="329" t="s">
        <v>1281</v>
      </c>
      <c r="E12" s="329" t="s">
        <v>1281</v>
      </c>
      <c r="F12" s="329" t="s">
        <v>1281</v>
      </c>
      <c r="G12" s="165"/>
      <c r="H12" s="165" t="s">
        <v>186</v>
      </c>
      <c r="I12" s="329" t="s">
        <v>1284</v>
      </c>
      <c r="J12" s="329" t="s">
        <v>1284</v>
      </c>
      <c r="K12" s="329" t="s">
        <v>580</v>
      </c>
      <c r="L12" s="329" t="s">
        <v>580</v>
      </c>
      <c r="M12" s="329" t="s">
        <v>1281</v>
      </c>
      <c r="N12" s="329" t="s">
        <v>1281</v>
      </c>
      <c r="O12" s="329" t="s">
        <v>1281</v>
      </c>
      <c r="P12" s="329" t="s">
        <v>1281</v>
      </c>
      <c r="Q12" s="329" t="s">
        <v>1281</v>
      </c>
      <c r="R12" s="329" t="s">
        <v>1281</v>
      </c>
      <c r="S12" s="329" t="s">
        <v>1281</v>
      </c>
      <c r="T12" s="329" t="s">
        <v>1281</v>
      </c>
      <c r="U12" s="329" t="s">
        <v>1281</v>
      </c>
      <c r="V12" s="329" t="s">
        <v>1281</v>
      </c>
      <c r="W12" s="168"/>
    </row>
    <row r="13" spans="1:23" ht="19.5" customHeight="1">
      <c r="A13" s="329" t="s">
        <v>1281</v>
      </c>
      <c r="B13" s="329" t="s">
        <v>1281</v>
      </c>
      <c r="C13" s="329" t="s">
        <v>1281</v>
      </c>
      <c r="D13" s="329" t="s">
        <v>1281</v>
      </c>
      <c r="E13" s="329" t="s">
        <v>1281</v>
      </c>
      <c r="F13" s="329" t="s">
        <v>1281</v>
      </c>
      <c r="G13" s="165"/>
      <c r="H13" s="165" t="s">
        <v>186</v>
      </c>
      <c r="I13" s="329" t="s">
        <v>1284</v>
      </c>
      <c r="J13" s="329" t="s">
        <v>1284</v>
      </c>
      <c r="K13" s="329" t="s">
        <v>580</v>
      </c>
      <c r="L13" s="329" t="s">
        <v>580</v>
      </c>
      <c r="M13" s="329" t="s">
        <v>1281</v>
      </c>
      <c r="N13" s="329" t="s">
        <v>1281</v>
      </c>
      <c r="O13" s="329" t="s">
        <v>1281</v>
      </c>
      <c r="P13" s="329" t="s">
        <v>1281</v>
      </c>
      <c r="Q13" s="329" t="s">
        <v>1281</v>
      </c>
      <c r="R13" s="329" t="s">
        <v>1281</v>
      </c>
      <c r="S13" s="329" t="s">
        <v>1281</v>
      </c>
      <c r="T13" s="329" t="s">
        <v>1281</v>
      </c>
      <c r="U13" s="329" t="s">
        <v>1281</v>
      </c>
      <c r="V13" s="329" t="s">
        <v>1281</v>
      </c>
      <c r="W13" s="168" t="str">
        <f>A13&amp;COUNTIF(A$7:A13,A13)</f>
        <v>-6</v>
      </c>
    </row>
    <row r="14" spans="1:23" ht="19.5" customHeight="1">
      <c r="A14" s="329" t="s">
        <v>1281</v>
      </c>
      <c r="B14" s="329" t="s">
        <v>1281</v>
      </c>
      <c r="C14" s="329" t="s">
        <v>1281</v>
      </c>
      <c r="D14" s="329" t="s">
        <v>1281</v>
      </c>
      <c r="E14" s="329" t="s">
        <v>1281</v>
      </c>
      <c r="F14" s="329" t="s">
        <v>1281</v>
      </c>
      <c r="G14" s="165"/>
      <c r="H14" s="165" t="s">
        <v>186</v>
      </c>
      <c r="I14" s="329" t="s">
        <v>1284</v>
      </c>
      <c r="J14" s="329" t="s">
        <v>1284</v>
      </c>
      <c r="K14" s="329" t="s">
        <v>580</v>
      </c>
      <c r="L14" s="329" t="s">
        <v>1569</v>
      </c>
      <c r="M14" s="329" t="s">
        <v>1281</v>
      </c>
      <c r="N14" s="329" t="s">
        <v>1281</v>
      </c>
      <c r="O14" s="329" t="s">
        <v>1281</v>
      </c>
      <c r="P14" s="329" t="s">
        <v>1281</v>
      </c>
      <c r="Q14" s="329" t="s">
        <v>1281</v>
      </c>
      <c r="R14" s="329" t="s">
        <v>1281</v>
      </c>
      <c r="S14" s="329" t="s">
        <v>1281</v>
      </c>
      <c r="T14" s="329" t="s">
        <v>1281</v>
      </c>
      <c r="U14" s="329" t="s">
        <v>1281</v>
      </c>
      <c r="V14" s="329" t="s">
        <v>1281</v>
      </c>
      <c r="W14" s="168"/>
    </row>
    <row r="15" spans="1:23" ht="19.5" customHeight="1">
      <c r="A15" s="329" t="s">
        <v>1281</v>
      </c>
      <c r="B15" s="329" t="s">
        <v>1281</v>
      </c>
      <c r="C15" s="329" t="s">
        <v>1281</v>
      </c>
      <c r="D15" s="329" t="s">
        <v>1281</v>
      </c>
      <c r="E15" s="329" t="s">
        <v>1281</v>
      </c>
      <c r="F15" s="329" t="s">
        <v>1281</v>
      </c>
      <c r="G15" s="165"/>
      <c r="H15" s="165" t="s">
        <v>186</v>
      </c>
      <c r="I15" s="329" t="s">
        <v>1284</v>
      </c>
      <c r="J15" s="329" t="s">
        <v>1284</v>
      </c>
      <c r="K15" s="329" t="s">
        <v>580</v>
      </c>
      <c r="L15" s="329" t="s">
        <v>1569</v>
      </c>
      <c r="M15" s="329" t="s">
        <v>1281</v>
      </c>
      <c r="N15" s="329" t="s">
        <v>1281</v>
      </c>
      <c r="O15" s="329" t="s">
        <v>1281</v>
      </c>
      <c r="P15" s="329" t="s">
        <v>1281</v>
      </c>
      <c r="Q15" s="329" t="s">
        <v>1281</v>
      </c>
      <c r="R15" s="329" t="s">
        <v>1281</v>
      </c>
      <c r="S15" s="329" t="s">
        <v>1281</v>
      </c>
      <c r="T15" s="329" t="s">
        <v>1281</v>
      </c>
      <c r="U15" s="329" t="s">
        <v>1281</v>
      </c>
      <c r="V15" s="329" t="s">
        <v>1281</v>
      </c>
      <c r="W15" s="168"/>
    </row>
    <row r="16" spans="1:23" ht="19.5" customHeight="1">
      <c r="A16" s="329" t="s">
        <v>1281</v>
      </c>
      <c r="B16" s="329" t="s">
        <v>1281</v>
      </c>
      <c r="C16" s="329" t="s">
        <v>1281</v>
      </c>
      <c r="D16" s="329" t="s">
        <v>1281</v>
      </c>
      <c r="E16" s="329" t="s">
        <v>1281</v>
      </c>
      <c r="F16" s="329" t="s">
        <v>1281</v>
      </c>
      <c r="G16" s="165"/>
      <c r="H16" s="165" t="s">
        <v>186</v>
      </c>
      <c r="I16" s="329" t="s">
        <v>1284</v>
      </c>
      <c r="J16" s="329" t="s">
        <v>1284</v>
      </c>
      <c r="K16" s="329" t="s">
        <v>580</v>
      </c>
      <c r="L16" s="329" t="s">
        <v>1569</v>
      </c>
      <c r="M16" s="329" t="s">
        <v>1281</v>
      </c>
      <c r="N16" s="329" t="s">
        <v>1281</v>
      </c>
      <c r="O16" s="329" t="s">
        <v>1281</v>
      </c>
      <c r="P16" s="329" t="s">
        <v>1281</v>
      </c>
      <c r="Q16" s="329" t="s">
        <v>1281</v>
      </c>
      <c r="R16" s="329" t="s">
        <v>1281</v>
      </c>
      <c r="S16" s="329" t="s">
        <v>1281</v>
      </c>
      <c r="T16" s="329" t="s">
        <v>1281</v>
      </c>
      <c r="U16" s="329" t="s">
        <v>1281</v>
      </c>
      <c r="V16" s="329" t="s">
        <v>1281</v>
      </c>
      <c r="W16" s="168"/>
    </row>
    <row r="17" spans="1:23" ht="19.5" customHeight="1">
      <c r="A17" s="329" t="s">
        <v>1281</v>
      </c>
      <c r="B17" s="329" t="s">
        <v>1281</v>
      </c>
      <c r="C17" s="329" t="s">
        <v>1281</v>
      </c>
      <c r="D17" s="329" t="s">
        <v>1281</v>
      </c>
      <c r="E17" s="329" t="s">
        <v>1281</v>
      </c>
      <c r="F17" s="329" t="s">
        <v>1281</v>
      </c>
      <c r="G17" s="165"/>
      <c r="H17" s="165" t="s">
        <v>186</v>
      </c>
      <c r="I17" s="329" t="s">
        <v>1284</v>
      </c>
      <c r="J17" s="329" t="s">
        <v>1284</v>
      </c>
      <c r="K17" s="329" t="s">
        <v>580</v>
      </c>
      <c r="L17" s="329" t="s">
        <v>1569</v>
      </c>
      <c r="M17" s="329" t="s">
        <v>1281</v>
      </c>
      <c r="N17" s="329" t="s">
        <v>1281</v>
      </c>
      <c r="O17" s="329" t="s">
        <v>1281</v>
      </c>
      <c r="P17" s="329" t="s">
        <v>1281</v>
      </c>
      <c r="Q17" s="329" t="s">
        <v>1281</v>
      </c>
      <c r="R17" s="329" t="s">
        <v>1281</v>
      </c>
      <c r="S17" s="329" t="s">
        <v>1281</v>
      </c>
      <c r="T17" s="329" t="s">
        <v>1281</v>
      </c>
      <c r="U17" s="329" t="s">
        <v>1281</v>
      </c>
      <c r="V17" s="329" t="s">
        <v>1281</v>
      </c>
      <c r="W17" s="168"/>
    </row>
    <row r="18" spans="1:23" ht="19.5" customHeight="1">
      <c r="A18" s="329" t="s">
        <v>1281</v>
      </c>
      <c r="B18" s="329" t="s">
        <v>1281</v>
      </c>
      <c r="C18" s="329" t="s">
        <v>1281</v>
      </c>
      <c r="D18" s="329" t="s">
        <v>1281</v>
      </c>
      <c r="E18" s="329" t="s">
        <v>1281</v>
      </c>
      <c r="F18" s="329" t="s">
        <v>1281</v>
      </c>
      <c r="G18" s="165"/>
      <c r="H18" s="165" t="s">
        <v>186</v>
      </c>
      <c r="I18" s="329" t="s">
        <v>1284</v>
      </c>
      <c r="J18" s="329" t="s">
        <v>1284</v>
      </c>
      <c r="K18" s="329" t="s">
        <v>580</v>
      </c>
      <c r="L18" s="329" t="s">
        <v>1569</v>
      </c>
      <c r="M18" s="329" t="s">
        <v>1281</v>
      </c>
      <c r="N18" s="329" t="s">
        <v>1281</v>
      </c>
      <c r="O18" s="329" t="s">
        <v>1281</v>
      </c>
      <c r="P18" s="329" t="s">
        <v>1281</v>
      </c>
      <c r="Q18" s="329" t="s">
        <v>1281</v>
      </c>
      <c r="R18" s="329" t="s">
        <v>1281</v>
      </c>
      <c r="S18" s="329" t="s">
        <v>1281</v>
      </c>
      <c r="T18" s="329" t="s">
        <v>1281</v>
      </c>
      <c r="U18" s="329" t="s">
        <v>1281</v>
      </c>
      <c r="V18" s="329" t="s">
        <v>1281</v>
      </c>
      <c r="W18" s="168"/>
    </row>
    <row r="19" spans="1:23" ht="19.5" customHeight="1">
      <c r="A19" s="329" t="s">
        <v>1281</v>
      </c>
      <c r="B19" s="329" t="s">
        <v>1281</v>
      </c>
      <c r="C19" s="329" t="s">
        <v>1281</v>
      </c>
      <c r="D19" s="329" t="s">
        <v>1281</v>
      </c>
      <c r="E19" s="329" t="s">
        <v>1281</v>
      </c>
      <c r="F19" s="329" t="s">
        <v>1281</v>
      </c>
      <c r="G19" s="165"/>
      <c r="H19" s="165" t="s">
        <v>186</v>
      </c>
      <c r="I19" s="329" t="s">
        <v>1284</v>
      </c>
      <c r="J19" s="329" t="s">
        <v>1284</v>
      </c>
      <c r="K19" s="329" t="s">
        <v>580</v>
      </c>
      <c r="L19" s="329" t="s">
        <v>1569</v>
      </c>
      <c r="M19" s="329" t="s">
        <v>1281</v>
      </c>
      <c r="N19" s="329" t="s">
        <v>1281</v>
      </c>
      <c r="O19" s="329" t="s">
        <v>1281</v>
      </c>
      <c r="P19" s="329" t="s">
        <v>1281</v>
      </c>
      <c r="Q19" s="329" t="s">
        <v>1281</v>
      </c>
      <c r="R19" s="329" t="s">
        <v>1281</v>
      </c>
      <c r="S19" s="329" t="s">
        <v>1281</v>
      </c>
      <c r="T19" s="329" t="s">
        <v>1281</v>
      </c>
      <c r="U19" s="329" t="s">
        <v>1281</v>
      </c>
      <c r="V19" s="329" t="s">
        <v>1281</v>
      </c>
      <c r="W19" s="168" t="str">
        <f>A19&amp;COUNTIF(A$7:A19,A19)</f>
        <v>-12</v>
      </c>
    </row>
    <row r="20" spans="1:23" ht="19.5" customHeight="1">
      <c r="A20" s="329" t="s">
        <v>1281</v>
      </c>
      <c r="B20" s="329" t="s">
        <v>1281</v>
      </c>
      <c r="C20" s="329" t="s">
        <v>1281</v>
      </c>
      <c r="D20" s="329" t="s">
        <v>1281</v>
      </c>
      <c r="E20" s="329" t="s">
        <v>1281</v>
      </c>
      <c r="F20" s="329" t="s">
        <v>1281</v>
      </c>
      <c r="G20" s="165"/>
      <c r="H20" s="165" t="s">
        <v>186</v>
      </c>
      <c r="I20" s="329" t="s">
        <v>1284</v>
      </c>
      <c r="J20" s="329" t="s">
        <v>1284</v>
      </c>
      <c r="K20" s="329" t="s">
        <v>580</v>
      </c>
      <c r="L20" s="329" t="s">
        <v>1569</v>
      </c>
      <c r="M20" s="329" t="s">
        <v>1281</v>
      </c>
      <c r="N20" s="329" t="s">
        <v>1281</v>
      </c>
      <c r="O20" s="329" t="s">
        <v>1281</v>
      </c>
      <c r="P20" s="329" t="s">
        <v>1281</v>
      </c>
      <c r="Q20" s="329" t="s">
        <v>1281</v>
      </c>
      <c r="R20" s="329" t="s">
        <v>1281</v>
      </c>
      <c r="S20" s="329" t="s">
        <v>1281</v>
      </c>
      <c r="T20" s="329" t="s">
        <v>1281</v>
      </c>
      <c r="U20" s="329" t="s">
        <v>1281</v>
      </c>
      <c r="V20" s="329" t="s">
        <v>1281</v>
      </c>
      <c r="W20" s="168" t="str">
        <f>A20&amp;COUNTIF(A$7:A20,A20)</f>
        <v>-13</v>
      </c>
    </row>
    <row r="21" spans="1:23" ht="19.5" customHeight="1">
      <c r="A21" s="329" t="s">
        <v>1281</v>
      </c>
      <c r="B21" s="329" t="s">
        <v>1281</v>
      </c>
      <c r="C21" s="329" t="s">
        <v>1281</v>
      </c>
      <c r="D21" s="329" t="s">
        <v>1281</v>
      </c>
      <c r="E21" s="329" t="s">
        <v>1281</v>
      </c>
      <c r="F21" s="329" t="s">
        <v>1281</v>
      </c>
      <c r="G21" s="165"/>
      <c r="H21" s="165" t="s">
        <v>186</v>
      </c>
      <c r="I21" s="329" t="s">
        <v>1284</v>
      </c>
      <c r="J21" s="329" t="s">
        <v>1284</v>
      </c>
      <c r="K21" s="329" t="s">
        <v>580</v>
      </c>
      <c r="L21" s="329" t="s">
        <v>1569</v>
      </c>
      <c r="M21" s="329" t="s">
        <v>1281</v>
      </c>
      <c r="N21" s="329" t="s">
        <v>1281</v>
      </c>
      <c r="O21" s="329" t="s">
        <v>1281</v>
      </c>
      <c r="P21" s="329" t="s">
        <v>1281</v>
      </c>
      <c r="Q21" s="329" t="s">
        <v>1281</v>
      </c>
      <c r="R21" s="329" t="s">
        <v>1281</v>
      </c>
      <c r="S21" s="329" t="s">
        <v>1281</v>
      </c>
      <c r="T21" s="329" t="s">
        <v>1281</v>
      </c>
      <c r="U21" s="329" t="s">
        <v>1281</v>
      </c>
      <c r="V21" s="329" t="s">
        <v>1281</v>
      </c>
      <c r="W21" s="168" t="str">
        <f>A21&amp;COUNTIF(A$7:A21,A21)</f>
        <v>-14</v>
      </c>
    </row>
    <row r="22" spans="1:23" ht="19.5" customHeight="1">
      <c r="A22" s="362" t="s">
        <v>19</v>
      </c>
      <c r="B22" s="362" t="s">
        <v>186</v>
      </c>
      <c r="C22" s="363"/>
      <c r="D22" s="360"/>
      <c r="E22" s="360"/>
      <c r="F22" s="364">
        <v>2</v>
      </c>
      <c r="G22" s="165"/>
      <c r="H22" s="165" t="s">
        <v>186</v>
      </c>
      <c r="I22" s="165"/>
      <c r="J22" s="173" t="s">
        <v>186</v>
      </c>
      <c r="K22" s="157">
        <f>IF($A22="入力規則","-",30-LENB(G22))</f>
        <v>30</v>
      </c>
      <c r="L22" s="157">
        <f>IF($A22="入力規則","-",90-LENB(I22))</f>
        <v>90</v>
      </c>
      <c r="M22" s="366" t="str">
        <f>IF(R22="","※関数で自動入力",LEFT(MID(R22,FIND("://",R22)+3,999),FIND("/",MID(R22,FIND("://",R22)+3,999),1)))</f>
        <v>※関数で自動入力</v>
      </c>
      <c r="N22" s="360"/>
      <c r="O22" s="360"/>
      <c r="P22" s="361">
        <f>IF($A22="入力規則","-",15-LENB(N22))</f>
        <v>15</v>
      </c>
      <c r="Q22" s="361">
        <f>IF($A22="入力規則","-",15-LENB(O22))</f>
        <v>15</v>
      </c>
      <c r="R22" s="360"/>
      <c r="S22" s="360"/>
      <c r="T22" s="360"/>
      <c r="U22" s="360"/>
      <c r="V22" s="360"/>
      <c r="W22" s="168" t="str">
        <f>A22&amp;COUNTIF(A$7:A22,A22)</f>
        <v>Google2</v>
      </c>
    </row>
    <row r="23" spans="1:23" ht="19.5" customHeight="1">
      <c r="A23" s="329" t="s">
        <v>1281</v>
      </c>
      <c r="B23" s="329" t="s">
        <v>1281</v>
      </c>
      <c r="C23" s="329" t="s">
        <v>1281</v>
      </c>
      <c r="D23" s="329" t="s">
        <v>1281</v>
      </c>
      <c r="E23" s="329" t="s">
        <v>1281</v>
      </c>
      <c r="F23" s="329" t="s">
        <v>1281</v>
      </c>
      <c r="G23" s="165"/>
      <c r="H23" s="165" t="s">
        <v>186</v>
      </c>
      <c r="I23" s="165"/>
      <c r="J23" s="173" t="s">
        <v>186</v>
      </c>
      <c r="K23" s="157">
        <f>IF($A23="入力規則","-",30-LENB(G23))</f>
        <v>30</v>
      </c>
      <c r="L23" s="157">
        <f>IF($A23="入力規則","-",90-LENB(I23))</f>
        <v>90</v>
      </c>
      <c r="M23" s="329" t="s">
        <v>1281</v>
      </c>
      <c r="N23" s="329" t="s">
        <v>1281</v>
      </c>
      <c r="O23" s="329" t="s">
        <v>1281</v>
      </c>
      <c r="P23" s="329" t="s">
        <v>1281</v>
      </c>
      <c r="Q23" s="329" t="s">
        <v>1281</v>
      </c>
      <c r="R23" s="329" t="s">
        <v>1281</v>
      </c>
      <c r="S23" s="329" t="s">
        <v>1281</v>
      </c>
      <c r="T23" s="329" t="s">
        <v>1281</v>
      </c>
      <c r="U23" s="329" t="s">
        <v>1281</v>
      </c>
      <c r="V23" s="329" t="s">
        <v>1281</v>
      </c>
      <c r="W23" s="168"/>
    </row>
    <row r="24" spans="1:23" ht="19.5" customHeight="1">
      <c r="A24" s="329" t="s">
        <v>1281</v>
      </c>
      <c r="B24" s="329" t="s">
        <v>1281</v>
      </c>
      <c r="C24" s="329" t="s">
        <v>1281</v>
      </c>
      <c r="D24" s="329" t="s">
        <v>1281</v>
      </c>
      <c r="E24" s="329" t="s">
        <v>1281</v>
      </c>
      <c r="F24" s="329" t="s">
        <v>1281</v>
      </c>
      <c r="G24" s="165"/>
      <c r="H24" s="165" t="s">
        <v>186</v>
      </c>
      <c r="I24" s="165"/>
      <c r="J24" s="173" t="s">
        <v>186</v>
      </c>
      <c r="K24" s="157">
        <f>IF($A24="入力規則","-",30-LENB(G24))</f>
        <v>30</v>
      </c>
      <c r="L24" s="157">
        <f>IF($A24="入力規則","-",90-LENB(I24))</f>
        <v>90</v>
      </c>
      <c r="M24" s="329" t="s">
        <v>1281</v>
      </c>
      <c r="N24" s="329" t="s">
        <v>1281</v>
      </c>
      <c r="O24" s="329" t="s">
        <v>1281</v>
      </c>
      <c r="P24" s="329" t="s">
        <v>1281</v>
      </c>
      <c r="Q24" s="329" t="s">
        <v>1281</v>
      </c>
      <c r="R24" s="329" t="s">
        <v>1281</v>
      </c>
      <c r="S24" s="329" t="s">
        <v>1281</v>
      </c>
      <c r="T24" s="329" t="s">
        <v>1281</v>
      </c>
      <c r="U24" s="329" t="s">
        <v>1281</v>
      </c>
      <c r="V24" s="329" t="s">
        <v>1281</v>
      </c>
      <c r="W24" s="168"/>
    </row>
    <row r="25" spans="1:23" ht="19.5" customHeight="1">
      <c r="A25" s="329" t="s">
        <v>1281</v>
      </c>
      <c r="B25" s="329" t="s">
        <v>1281</v>
      </c>
      <c r="C25" s="329" t="s">
        <v>1281</v>
      </c>
      <c r="D25" s="329" t="s">
        <v>1281</v>
      </c>
      <c r="E25" s="329" t="s">
        <v>1281</v>
      </c>
      <c r="F25" s="329" t="s">
        <v>1281</v>
      </c>
      <c r="G25" s="165"/>
      <c r="H25" s="165" t="s">
        <v>186</v>
      </c>
      <c r="I25" s="165"/>
      <c r="J25" s="173" t="s">
        <v>186</v>
      </c>
      <c r="K25" s="157">
        <f>IF($A25="入力規則","-",30-LENB(G25))</f>
        <v>30</v>
      </c>
      <c r="L25" s="157">
        <f>IF($A25="入力規則","-",90-LENB(I25))</f>
        <v>90</v>
      </c>
      <c r="M25" s="329" t="s">
        <v>1281</v>
      </c>
      <c r="N25" s="329" t="s">
        <v>1281</v>
      </c>
      <c r="O25" s="329" t="s">
        <v>1281</v>
      </c>
      <c r="P25" s="329" t="s">
        <v>1281</v>
      </c>
      <c r="Q25" s="329" t="s">
        <v>1281</v>
      </c>
      <c r="R25" s="329" t="s">
        <v>1281</v>
      </c>
      <c r="S25" s="329" t="s">
        <v>1281</v>
      </c>
      <c r="T25" s="329" t="s">
        <v>1281</v>
      </c>
      <c r="U25" s="329" t="s">
        <v>1281</v>
      </c>
      <c r="V25" s="329" t="s">
        <v>1281</v>
      </c>
      <c r="W25" s="168"/>
    </row>
    <row r="26" spans="1:23" ht="19.5" customHeight="1">
      <c r="A26" s="329" t="s">
        <v>1281</v>
      </c>
      <c r="B26" s="329" t="s">
        <v>1281</v>
      </c>
      <c r="C26" s="329" t="s">
        <v>1281</v>
      </c>
      <c r="D26" s="329" t="s">
        <v>1281</v>
      </c>
      <c r="E26" s="329" t="s">
        <v>1281</v>
      </c>
      <c r="F26" s="329" t="s">
        <v>1281</v>
      </c>
      <c r="G26" s="165"/>
      <c r="H26" s="165" t="s">
        <v>186</v>
      </c>
      <c r="I26" s="329" t="s">
        <v>1284</v>
      </c>
      <c r="J26" s="329" t="s">
        <v>1284</v>
      </c>
      <c r="K26" s="329" t="s">
        <v>580</v>
      </c>
      <c r="L26" s="329" t="s">
        <v>580</v>
      </c>
      <c r="M26" s="329" t="s">
        <v>1281</v>
      </c>
      <c r="N26" s="329" t="s">
        <v>1281</v>
      </c>
      <c r="O26" s="329" t="s">
        <v>1281</v>
      </c>
      <c r="P26" s="329" t="s">
        <v>1281</v>
      </c>
      <c r="Q26" s="329" t="s">
        <v>1281</v>
      </c>
      <c r="R26" s="329" t="s">
        <v>1281</v>
      </c>
      <c r="S26" s="329" t="s">
        <v>1281</v>
      </c>
      <c r="T26" s="329" t="s">
        <v>1281</v>
      </c>
      <c r="U26" s="329" t="s">
        <v>1281</v>
      </c>
      <c r="V26" s="329" t="s">
        <v>1281</v>
      </c>
      <c r="W26" s="168"/>
    </row>
    <row r="27" spans="1:23" ht="19.5" customHeight="1">
      <c r="A27" s="329" t="s">
        <v>1281</v>
      </c>
      <c r="B27" s="329" t="s">
        <v>1281</v>
      </c>
      <c r="C27" s="329" t="s">
        <v>1281</v>
      </c>
      <c r="D27" s="329" t="s">
        <v>1281</v>
      </c>
      <c r="E27" s="329" t="s">
        <v>1281</v>
      </c>
      <c r="F27" s="329" t="s">
        <v>1281</v>
      </c>
      <c r="G27" s="165"/>
      <c r="H27" s="165" t="s">
        <v>186</v>
      </c>
      <c r="I27" s="329" t="s">
        <v>1284</v>
      </c>
      <c r="J27" s="329" t="s">
        <v>1284</v>
      </c>
      <c r="K27" s="329" t="s">
        <v>580</v>
      </c>
      <c r="L27" s="329" t="s">
        <v>580</v>
      </c>
      <c r="M27" s="329" t="s">
        <v>1281</v>
      </c>
      <c r="N27" s="329" t="s">
        <v>1281</v>
      </c>
      <c r="O27" s="329" t="s">
        <v>1281</v>
      </c>
      <c r="P27" s="329" t="s">
        <v>1281</v>
      </c>
      <c r="Q27" s="329" t="s">
        <v>1281</v>
      </c>
      <c r="R27" s="329" t="s">
        <v>1281</v>
      </c>
      <c r="S27" s="329" t="s">
        <v>1281</v>
      </c>
      <c r="T27" s="329" t="s">
        <v>1281</v>
      </c>
      <c r="U27" s="329" t="s">
        <v>1281</v>
      </c>
      <c r="V27" s="329" t="s">
        <v>1281</v>
      </c>
      <c r="W27" s="168"/>
    </row>
    <row r="28" spans="1:23" ht="19.5" customHeight="1">
      <c r="A28" s="329" t="s">
        <v>1281</v>
      </c>
      <c r="B28" s="329" t="s">
        <v>1281</v>
      </c>
      <c r="C28" s="329" t="s">
        <v>1281</v>
      </c>
      <c r="D28" s="329" t="s">
        <v>1281</v>
      </c>
      <c r="E28" s="329" t="s">
        <v>1281</v>
      </c>
      <c r="F28" s="329" t="s">
        <v>1281</v>
      </c>
      <c r="G28" s="165"/>
      <c r="H28" s="165" t="s">
        <v>186</v>
      </c>
      <c r="I28" s="329" t="s">
        <v>1284</v>
      </c>
      <c r="J28" s="329" t="s">
        <v>1284</v>
      </c>
      <c r="K28" s="329" t="s">
        <v>580</v>
      </c>
      <c r="L28" s="329" t="s">
        <v>580</v>
      </c>
      <c r="M28" s="329" t="s">
        <v>1281</v>
      </c>
      <c r="N28" s="329" t="s">
        <v>1281</v>
      </c>
      <c r="O28" s="329" t="s">
        <v>1281</v>
      </c>
      <c r="P28" s="329" t="s">
        <v>1281</v>
      </c>
      <c r="Q28" s="329" t="s">
        <v>1281</v>
      </c>
      <c r="R28" s="329" t="s">
        <v>1281</v>
      </c>
      <c r="S28" s="329" t="s">
        <v>1281</v>
      </c>
      <c r="T28" s="329" t="s">
        <v>1281</v>
      </c>
      <c r="U28" s="329" t="s">
        <v>1281</v>
      </c>
      <c r="V28" s="329" t="s">
        <v>1281</v>
      </c>
      <c r="W28" s="168" t="str">
        <f>A28&amp;COUNTIF(A$7:A28,A28)</f>
        <v>-20</v>
      </c>
    </row>
    <row r="29" spans="1:23" ht="19.5" customHeight="1">
      <c r="A29" s="329" t="s">
        <v>1281</v>
      </c>
      <c r="B29" s="329" t="s">
        <v>1281</v>
      </c>
      <c r="C29" s="329" t="s">
        <v>1281</v>
      </c>
      <c r="D29" s="329" t="s">
        <v>1281</v>
      </c>
      <c r="E29" s="329" t="s">
        <v>1281</v>
      </c>
      <c r="F29" s="329" t="s">
        <v>1281</v>
      </c>
      <c r="G29" s="165"/>
      <c r="H29" s="165" t="s">
        <v>186</v>
      </c>
      <c r="I29" s="329" t="s">
        <v>1284</v>
      </c>
      <c r="J29" s="329" t="s">
        <v>1284</v>
      </c>
      <c r="K29" s="329" t="s">
        <v>580</v>
      </c>
      <c r="L29" s="329" t="s">
        <v>1284</v>
      </c>
      <c r="M29" s="329" t="s">
        <v>1281</v>
      </c>
      <c r="N29" s="329" t="s">
        <v>1281</v>
      </c>
      <c r="O29" s="329" t="s">
        <v>1281</v>
      </c>
      <c r="P29" s="329" t="s">
        <v>1281</v>
      </c>
      <c r="Q29" s="329" t="s">
        <v>1281</v>
      </c>
      <c r="R29" s="329" t="s">
        <v>1281</v>
      </c>
      <c r="S29" s="329" t="s">
        <v>1281</v>
      </c>
      <c r="T29" s="329" t="s">
        <v>1281</v>
      </c>
      <c r="U29" s="329" t="s">
        <v>1281</v>
      </c>
      <c r="V29" s="329" t="s">
        <v>1281</v>
      </c>
      <c r="W29" s="168"/>
    </row>
    <row r="30" spans="1:23" ht="19.5" customHeight="1">
      <c r="A30" s="329" t="s">
        <v>1281</v>
      </c>
      <c r="B30" s="329" t="s">
        <v>1281</v>
      </c>
      <c r="C30" s="329" t="s">
        <v>1281</v>
      </c>
      <c r="D30" s="329" t="s">
        <v>1281</v>
      </c>
      <c r="E30" s="329" t="s">
        <v>1281</v>
      </c>
      <c r="F30" s="329" t="s">
        <v>1281</v>
      </c>
      <c r="G30" s="165"/>
      <c r="H30" s="165" t="s">
        <v>186</v>
      </c>
      <c r="I30" s="329" t="s">
        <v>1284</v>
      </c>
      <c r="J30" s="329" t="s">
        <v>1284</v>
      </c>
      <c r="K30" s="329" t="s">
        <v>580</v>
      </c>
      <c r="L30" s="329" t="s">
        <v>1284</v>
      </c>
      <c r="M30" s="329" t="s">
        <v>1281</v>
      </c>
      <c r="N30" s="329" t="s">
        <v>1281</v>
      </c>
      <c r="O30" s="329" t="s">
        <v>1281</v>
      </c>
      <c r="P30" s="329" t="s">
        <v>1281</v>
      </c>
      <c r="Q30" s="329" t="s">
        <v>1281</v>
      </c>
      <c r="R30" s="329" t="s">
        <v>1281</v>
      </c>
      <c r="S30" s="329" t="s">
        <v>1281</v>
      </c>
      <c r="T30" s="329" t="s">
        <v>1281</v>
      </c>
      <c r="U30" s="329" t="s">
        <v>1281</v>
      </c>
      <c r="V30" s="329" t="s">
        <v>1281</v>
      </c>
      <c r="W30" s="168"/>
    </row>
    <row r="31" spans="1:23" ht="19.5" customHeight="1">
      <c r="A31" s="329" t="s">
        <v>1281</v>
      </c>
      <c r="B31" s="329" t="s">
        <v>1281</v>
      </c>
      <c r="C31" s="329" t="s">
        <v>1281</v>
      </c>
      <c r="D31" s="329" t="s">
        <v>1281</v>
      </c>
      <c r="E31" s="329" t="s">
        <v>1281</v>
      </c>
      <c r="F31" s="329" t="s">
        <v>1281</v>
      </c>
      <c r="G31" s="165"/>
      <c r="H31" s="165" t="s">
        <v>186</v>
      </c>
      <c r="I31" s="329" t="s">
        <v>1284</v>
      </c>
      <c r="J31" s="329" t="s">
        <v>1284</v>
      </c>
      <c r="K31" s="329" t="s">
        <v>580</v>
      </c>
      <c r="L31" s="329" t="s">
        <v>1284</v>
      </c>
      <c r="M31" s="329" t="s">
        <v>1281</v>
      </c>
      <c r="N31" s="329" t="s">
        <v>1281</v>
      </c>
      <c r="O31" s="329" t="s">
        <v>1281</v>
      </c>
      <c r="P31" s="329" t="s">
        <v>1281</v>
      </c>
      <c r="Q31" s="329" t="s">
        <v>1281</v>
      </c>
      <c r="R31" s="329" t="s">
        <v>1281</v>
      </c>
      <c r="S31" s="329" t="s">
        <v>1281</v>
      </c>
      <c r="T31" s="329" t="s">
        <v>1281</v>
      </c>
      <c r="U31" s="329" t="s">
        <v>1281</v>
      </c>
      <c r="V31" s="329" t="s">
        <v>1281</v>
      </c>
      <c r="W31" s="168"/>
    </row>
    <row r="32" spans="1:23" ht="19.5" customHeight="1">
      <c r="A32" s="329" t="s">
        <v>1281</v>
      </c>
      <c r="B32" s="329" t="s">
        <v>1281</v>
      </c>
      <c r="C32" s="329" t="s">
        <v>1281</v>
      </c>
      <c r="D32" s="329" t="s">
        <v>1281</v>
      </c>
      <c r="E32" s="329" t="s">
        <v>1281</v>
      </c>
      <c r="F32" s="329" t="s">
        <v>1281</v>
      </c>
      <c r="G32" s="165"/>
      <c r="H32" s="165" t="s">
        <v>186</v>
      </c>
      <c r="I32" s="329" t="s">
        <v>1284</v>
      </c>
      <c r="J32" s="329" t="s">
        <v>1284</v>
      </c>
      <c r="K32" s="329" t="s">
        <v>580</v>
      </c>
      <c r="L32" s="329" t="s">
        <v>1284</v>
      </c>
      <c r="M32" s="329" t="s">
        <v>1281</v>
      </c>
      <c r="N32" s="329" t="s">
        <v>1281</v>
      </c>
      <c r="O32" s="329" t="s">
        <v>1281</v>
      </c>
      <c r="P32" s="329" t="s">
        <v>1281</v>
      </c>
      <c r="Q32" s="329" t="s">
        <v>1281</v>
      </c>
      <c r="R32" s="329" t="s">
        <v>1281</v>
      </c>
      <c r="S32" s="329" t="s">
        <v>1281</v>
      </c>
      <c r="T32" s="329" t="s">
        <v>1281</v>
      </c>
      <c r="U32" s="329" t="s">
        <v>1281</v>
      </c>
      <c r="V32" s="329" t="s">
        <v>1281</v>
      </c>
      <c r="W32" s="168"/>
    </row>
    <row r="33" spans="1:23" ht="19.5" customHeight="1">
      <c r="A33" s="329" t="s">
        <v>1281</v>
      </c>
      <c r="B33" s="329" t="s">
        <v>1281</v>
      </c>
      <c r="C33" s="329" t="s">
        <v>1281</v>
      </c>
      <c r="D33" s="329" t="s">
        <v>1281</v>
      </c>
      <c r="E33" s="329" t="s">
        <v>1281</v>
      </c>
      <c r="F33" s="329" t="s">
        <v>1281</v>
      </c>
      <c r="G33" s="165"/>
      <c r="H33" s="165" t="s">
        <v>186</v>
      </c>
      <c r="I33" s="329" t="s">
        <v>1284</v>
      </c>
      <c r="J33" s="329" t="s">
        <v>1284</v>
      </c>
      <c r="K33" s="329" t="s">
        <v>580</v>
      </c>
      <c r="L33" s="329" t="s">
        <v>1284</v>
      </c>
      <c r="M33" s="329" t="s">
        <v>1281</v>
      </c>
      <c r="N33" s="329" t="s">
        <v>1281</v>
      </c>
      <c r="O33" s="329" t="s">
        <v>1281</v>
      </c>
      <c r="P33" s="329" t="s">
        <v>1281</v>
      </c>
      <c r="Q33" s="329" t="s">
        <v>1281</v>
      </c>
      <c r="R33" s="329" t="s">
        <v>1281</v>
      </c>
      <c r="S33" s="329" t="s">
        <v>1281</v>
      </c>
      <c r="T33" s="329" t="s">
        <v>1281</v>
      </c>
      <c r="U33" s="329" t="s">
        <v>1281</v>
      </c>
      <c r="V33" s="329" t="s">
        <v>1281</v>
      </c>
      <c r="W33" s="168"/>
    </row>
    <row r="34" spans="1:23" ht="19.5" customHeight="1">
      <c r="A34" s="329" t="s">
        <v>1281</v>
      </c>
      <c r="B34" s="329" t="s">
        <v>1281</v>
      </c>
      <c r="C34" s="329" t="s">
        <v>1281</v>
      </c>
      <c r="D34" s="329" t="s">
        <v>1281</v>
      </c>
      <c r="E34" s="329" t="s">
        <v>1281</v>
      </c>
      <c r="F34" s="329" t="s">
        <v>1281</v>
      </c>
      <c r="G34" s="165"/>
      <c r="H34" s="165" t="s">
        <v>186</v>
      </c>
      <c r="I34" s="329" t="s">
        <v>1284</v>
      </c>
      <c r="J34" s="329" t="s">
        <v>1284</v>
      </c>
      <c r="K34" s="329" t="s">
        <v>580</v>
      </c>
      <c r="L34" s="329" t="s">
        <v>1284</v>
      </c>
      <c r="M34" s="329" t="s">
        <v>1281</v>
      </c>
      <c r="N34" s="329" t="s">
        <v>1281</v>
      </c>
      <c r="O34" s="329" t="s">
        <v>1281</v>
      </c>
      <c r="P34" s="329" t="s">
        <v>1281</v>
      </c>
      <c r="Q34" s="329" t="s">
        <v>1281</v>
      </c>
      <c r="R34" s="329" t="s">
        <v>1281</v>
      </c>
      <c r="S34" s="329" t="s">
        <v>1281</v>
      </c>
      <c r="T34" s="329" t="s">
        <v>1281</v>
      </c>
      <c r="U34" s="329" t="s">
        <v>1281</v>
      </c>
      <c r="V34" s="329" t="s">
        <v>1281</v>
      </c>
      <c r="W34" s="168" t="str">
        <f>A34&amp;COUNTIF(A$7:A34,A34)</f>
        <v>-26</v>
      </c>
    </row>
    <row r="35" spans="1:23" ht="19.5" customHeight="1">
      <c r="A35" s="329" t="s">
        <v>1281</v>
      </c>
      <c r="B35" s="329" t="s">
        <v>1281</v>
      </c>
      <c r="C35" s="329" t="s">
        <v>1281</v>
      </c>
      <c r="D35" s="329" t="s">
        <v>1281</v>
      </c>
      <c r="E35" s="329" t="s">
        <v>1281</v>
      </c>
      <c r="F35" s="329" t="s">
        <v>1281</v>
      </c>
      <c r="G35" s="165"/>
      <c r="H35" s="165" t="s">
        <v>186</v>
      </c>
      <c r="I35" s="329" t="s">
        <v>1284</v>
      </c>
      <c r="J35" s="329" t="s">
        <v>1284</v>
      </c>
      <c r="K35" s="329" t="s">
        <v>580</v>
      </c>
      <c r="L35" s="329" t="s">
        <v>1284</v>
      </c>
      <c r="M35" s="329" t="s">
        <v>1281</v>
      </c>
      <c r="N35" s="329" t="s">
        <v>1281</v>
      </c>
      <c r="O35" s="329" t="s">
        <v>1281</v>
      </c>
      <c r="P35" s="329" t="s">
        <v>1281</v>
      </c>
      <c r="Q35" s="329" t="s">
        <v>1281</v>
      </c>
      <c r="R35" s="329" t="s">
        <v>1281</v>
      </c>
      <c r="S35" s="329" t="s">
        <v>1281</v>
      </c>
      <c r="T35" s="329" t="s">
        <v>1281</v>
      </c>
      <c r="U35" s="329" t="s">
        <v>1281</v>
      </c>
      <c r="V35" s="329" t="s">
        <v>1281</v>
      </c>
      <c r="W35" s="168" t="str">
        <f>A35&amp;COUNTIF(A$7:A35,A35)</f>
        <v>-27</v>
      </c>
    </row>
    <row r="36" spans="1:23" ht="19.5" customHeight="1">
      <c r="A36" s="329" t="s">
        <v>1281</v>
      </c>
      <c r="B36" s="329" t="s">
        <v>1281</v>
      </c>
      <c r="C36" s="329" t="s">
        <v>1281</v>
      </c>
      <c r="D36" s="329" t="s">
        <v>1281</v>
      </c>
      <c r="E36" s="329" t="s">
        <v>1281</v>
      </c>
      <c r="F36" s="329" t="s">
        <v>1281</v>
      </c>
      <c r="G36" s="165"/>
      <c r="H36" s="165" t="s">
        <v>186</v>
      </c>
      <c r="I36" s="329" t="s">
        <v>1284</v>
      </c>
      <c r="J36" s="329" t="s">
        <v>1284</v>
      </c>
      <c r="K36" s="329" t="s">
        <v>580</v>
      </c>
      <c r="L36" s="329" t="s">
        <v>1284</v>
      </c>
      <c r="M36" s="329" t="s">
        <v>1281</v>
      </c>
      <c r="N36" s="329" t="s">
        <v>1281</v>
      </c>
      <c r="O36" s="329" t="s">
        <v>1281</v>
      </c>
      <c r="P36" s="329" t="s">
        <v>1281</v>
      </c>
      <c r="Q36" s="329" t="s">
        <v>1281</v>
      </c>
      <c r="R36" s="329" t="s">
        <v>1281</v>
      </c>
      <c r="S36" s="329" t="s">
        <v>1281</v>
      </c>
      <c r="T36" s="329" t="s">
        <v>1281</v>
      </c>
      <c r="U36" s="329" t="s">
        <v>1281</v>
      </c>
      <c r="V36" s="329" t="s">
        <v>1281</v>
      </c>
      <c r="W36" s="168" t="str">
        <f>A36&amp;COUNTIF(A$7:A36,A36)</f>
        <v>-28</v>
      </c>
    </row>
    <row r="37" spans="1:23" ht="19.5" customHeight="1">
      <c r="A37" s="362" t="s">
        <v>19</v>
      </c>
      <c r="B37" s="362" t="s">
        <v>186</v>
      </c>
      <c r="C37" s="363"/>
      <c r="D37" s="360"/>
      <c r="E37" s="360"/>
      <c r="F37" s="364">
        <v>3</v>
      </c>
      <c r="G37" s="165"/>
      <c r="H37" s="165" t="s">
        <v>186</v>
      </c>
      <c r="I37" s="165"/>
      <c r="J37" s="173" t="s">
        <v>186</v>
      </c>
      <c r="K37" s="157">
        <f>IF($A37="入力規則","-",30-LENB(G37))</f>
        <v>30</v>
      </c>
      <c r="L37" s="157">
        <f>IF($A37="入力規則","-",90-LENB(I37))</f>
        <v>90</v>
      </c>
      <c r="M37" s="366" t="str">
        <f>IF(R37="","※関数で自動入力",LEFT(MID(R37,FIND("://",R37)+3,999),FIND("/",MID(R37,FIND("://",R37)+3,999),1)))</f>
        <v>※関数で自動入力</v>
      </c>
      <c r="N37" s="360"/>
      <c r="O37" s="360"/>
      <c r="P37" s="361">
        <f>IF($A37="入力規則","-",15-LENB(N37))</f>
        <v>15</v>
      </c>
      <c r="Q37" s="361">
        <f>IF($A37="入力規則","-",15-LENB(O37))</f>
        <v>15</v>
      </c>
      <c r="R37" s="360"/>
      <c r="S37" s="360"/>
      <c r="T37" s="360"/>
      <c r="U37" s="360"/>
      <c r="V37" s="360"/>
      <c r="W37" s="168" t="str">
        <f>A37&amp;COUNTIF(A$7:A37,A37)</f>
        <v>Google3</v>
      </c>
    </row>
    <row r="38" spans="1:23" ht="19.5" customHeight="1">
      <c r="A38" s="329" t="s">
        <v>1281</v>
      </c>
      <c r="B38" s="329" t="s">
        <v>1281</v>
      </c>
      <c r="C38" s="329" t="s">
        <v>1281</v>
      </c>
      <c r="D38" s="329" t="s">
        <v>1281</v>
      </c>
      <c r="E38" s="329" t="s">
        <v>1281</v>
      </c>
      <c r="F38" s="329" t="s">
        <v>1281</v>
      </c>
      <c r="G38" s="165"/>
      <c r="H38" s="165" t="s">
        <v>186</v>
      </c>
      <c r="I38" s="165"/>
      <c r="J38" s="173" t="s">
        <v>186</v>
      </c>
      <c r="K38" s="157">
        <f>IF($A38="入力規則","-",30-LENB(G38))</f>
        <v>30</v>
      </c>
      <c r="L38" s="157">
        <f>IF($A38="入力規則","-",90-LENB(I38))</f>
        <v>90</v>
      </c>
      <c r="M38" s="329" t="s">
        <v>1281</v>
      </c>
      <c r="N38" s="329" t="s">
        <v>1281</v>
      </c>
      <c r="O38" s="329" t="s">
        <v>1281</v>
      </c>
      <c r="P38" s="329" t="s">
        <v>1281</v>
      </c>
      <c r="Q38" s="329" t="s">
        <v>1281</v>
      </c>
      <c r="R38" s="329" t="s">
        <v>1281</v>
      </c>
      <c r="S38" s="329" t="s">
        <v>1281</v>
      </c>
      <c r="T38" s="329" t="s">
        <v>1281</v>
      </c>
      <c r="U38" s="329" t="s">
        <v>1281</v>
      </c>
      <c r="V38" s="329" t="s">
        <v>1281</v>
      </c>
      <c r="W38" s="168"/>
    </row>
    <row r="39" spans="1:23" ht="19.5" customHeight="1">
      <c r="A39" s="329" t="s">
        <v>1281</v>
      </c>
      <c r="B39" s="329" t="s">
        <v>1281</v>
      </c>
      <c r="C39" s="329" t="s">
        <v>1281</v>
      </c>
      <c r="D39" s="329" t="s">
        <v>1281</v>
      </c>
      <c r="E39" s="329" t="s">
        <v>1281</v>
      </c>
      <c r="F39" s="329" t="s">
        <v>1281</v>
      </c>
      <c r="G39" s="165"/>
      <c r="H39" s="165" t="s">
        <v>186</v>
      </c>
      <c r="I39" s="165"/>
      <c r="J39" s="173" t="s">
        <v>186</v>
      </c>
      <c r="K39" s="157">
        <f>IF($A39="入力規則","-",30-LENB(G39))</f>
        <v>30</v>
      </c>
      <c r="L39" s="157">
        <f>IF($A39="入力規則","-",90-LENB(I39))</f>
        <v>90</v>
      </c>
      <c r="M39" s="329" t="s">
        <v>1281</v>
      </c>
      <c r="N39" s="329" t="s">
        <v>1281</v>
      </c>
      <c r="O39" s="329" t="s">
        <v>1281</v>
      </c>
      <c r="P39" s="329" t="s">
        <v>1281</v>
      </c>
      <c r="Q39" s="329" t="s">
        <v>1281</v>
      </c>
      <c r="R39" s="329" t="s">
        <v>1281</v>
      </c>
      <c r="S39" s="329" t="s">
        <v>1281</v>
      </c>
      <c r="T39" s="329" t="s">
        <v>1281</v>
      </c>
      <c r="U39" s="329" t="s">
        <v>1281</v>
      </c>
      <c r="V39" s="329" t="s">
        <v>1281</v>
      </c>
      <c r="W39" s="168"/>
    </row>
    <row r="40" spans="1:23" ht="19.5" customHeight="1">
      <c r="A40" s="329" t="s">
        <v>1281</v>
      </c>
      <c r="B40" s="329" t="s">
        <v>1281</v>
      </c>
      <c r="C40" s="329" t="s">
        <v>1281</v>
      </c>
      <c r="D40" s="329" t="s">
        <v>1281</v>
      </c>
      <c r="E40" s="329" t="s">
        <v>1281</v>
      </c>
      <c r="F40" s="329" t="s">
        <v>1281</v>
      </c>
      <c r="G40" s="165"/>
      <c r="H40" s="165" t="s">
        <v>186</v>
      </c>
      <c r="I40" s="165"/>
      <c r="J40" s="173" t="s">
        <v>186</v>
      </c>
      <c r="K40" s="157">
        <f>IF($A40="入力規則","-",30-LENB(G40))</f>
        <v>30</v>
      </c>
      <c r="L40" s="157">
        <f>IF($A40="入力規則","-",90-LENB(I40))</f>
        <v>90</v>
      </c>
      <c r="M40" s="329" t="s">
        <v>1281</v>
      </c>
      <c r="N40" s="329" t="s">
        <v>1281</v>
      </c>
      <c r="O40" s="329" t="s">
        <v>1281</v>
      </c>
      <c r="P40" s="329" t="s">
        <v>1281</v>
      </c>
      <c r="Q40" s="329" t="s">
        <v>1281</v>
      </c>
      <c r="R40" s="329" t="s">
        <v>1281</v>
      </c>
      <c r="S40" s="329" t="s">
        <v>1281</v>
      </c>
      <c r="T40" s="329" t="s">
        <v>1281</v>
      </c>
      <c r="U40" s="329" t="s">
        <v>1281</v>
      </c>
      <c r="V40" s="329" t="s">
        <v>1281</v>
      </c>
      <c r="W40" s="168"/>
    </row>
    <row r="41" spans="1:23" ht="19.5" customHeight="1">
      <c r="A41" s="329" t="s">
        <v>1281</v>
      </c>
      <c r="B41" s="329" t="s">
        <v>1281</v>
      </c>
      <c r="C41" s="329" t="s">
        <v>1281</v>
      </c>
      <c r="D41" s="329" t="s">
        <v>1281</v>
      </c>
      <c r="E41" s="329" t="s">
        <v>1281</v>
      </c>
      <c r="F41" s="329" t="s">
        <v>1281</v>
      </c>
      <c r="G41" s="165"/>
      <c r="H41" s="165" t="s">
        <v>186</v>
      </c>
      <c r="I41" s="329" t="s">
        <v>1284</v>
      </c>
      <c r="J41" s="329" t="s">
        <v>1284</v>
      </c>
      <c r="K41" s="329" t="s">
        <v>580</v>
      </c>
      <c r="L41" s="329" t="s">
        <v>580</v>
      </c>
      <c r="M41" s="329" t="s">
        <v>1281</v>
      </c>
      <c r="N41" s="329" t="s">
        <v>1281</v>
      </c>
      <c r="O41" s="329" t="s">
        <v>1281</v>
      </c>
      <c r="P41" s="329" t="s">
        <v>1281</v>
      </c>
      <c r="Q41" s="329" t="s">
        <v>1281</v>
      </c>
      <c r="R41" s="329" t="s">
        <v>1281</v>
      </c>
      <c r="S41" s="329" t="s">
        <v>1281</v>
      </c>
      <c r="T41" s="329" t="s">
        <v>1281</v>
      </c>
      <c r="U41" s="329" t="s">
        <v>1281</v>
      </c>
      <c r="V41" s="329" t="s">
        <v>1281</v>
      </c>
      <c r="W41" s="168"/>
    </row>
    <row r="42" spans="1:23" ht="19.5" customHeight="1">
      <c r="A42" s="329" t="s">
        <v>1281</v>
      </c>
      <c r="B42" s="329" t="s">
        <v>1281</v>
      </c>
      <c r="C42" s="329" t="s">
        <v>1281</v>
      </c>
      <c r="D42" s="329" t="s">
        <v>1281</v>
      </c>
      <c r="E42" s="329" t="s">
        <v>1281</v>
      </c>
      <c r="F42" s="329" t="s">
        <v>1281</v>
      </c>
      <c r="G42" s="165"/>
      <c r="H42" s="165" t="s">
        <v>186</v>
      </c>
      <c r="I42" s="329" t="s">
        <v>1284</v>
      </c>
      <c r="J42" s="329" t="s">
        <v>1284</v>
      </c>
      <c r="K42" s="329" t="s">
        <v>580</v>
      </c>
      <c r="L42" s="329" t="s">
        <v>580</v>
      </c>
      <c r="M42" s="329" t="s">
        <v>1281</v>
      </c>
      <c r="N42" s="329" t="s">
        <v>1281</v>
      </c>
      <c r="O42" s="329" t="s">
        <v>1281</v>
      </c>
      <c r="P42" s="329" t="s">
        <v>1281</v>
      </c>
      <c r="Q42" s="329" t="s">
        <v>1281</v>
      </c>
      <c r="R42" s="329" t="s">
        <v>1281</v>
      </c>
      <c r="S42" s="329" t="s">
        <v>1281</v>
      </c>
      <c r="T42" s="329" t="s">
        <v>1281</v>
      </c>
      <c r="U42" s="329" t="s">
        <v>1281</v>
      </c>
      <c r="V42" s="329" t="s">
        <v>1281</v>
      </c>
      <c r="W42" s="168"/>
    </row>
    <row r="43" spans="1:23" ht="19.5" customHeight="1">
      <c r="A43" s="329" t="s">
        <v>1281</v>
      </c>
      <c r="B43" s="329" t="s">
        <v>1281</v>
      </c>
      <c r="C43" s="329" t="s">
        <v>1281</v>
      </c>
      <c r="D43" s="329" t="s">
        <v>1281</v>
      </c>
      <c r="E43" s="329" t="s">
        <v>1281</v>
      </c>
      <c r="F43" s="329" t="s">
        <v>1281</v>
      </c>
      <c r="G43" s="165"/>
      <c r="H43" s="165" t="s">
        <v>186</v>
      </c>
      <c r="I43" s="329" t="s">
        <v>1284</v>
      </c>
      <c r="J43" s="329" t="s">
        <v>1284</v>
      </c>
      <c r="K43" s="329" t="s">
        <v>580</v>
      </c>
      <c r="L43" s="329" t="s">
        <v>580</v>
      </c>
      <c r="M43" s="329" t="s">
        <v>1281</v>
      </c>
      <c r="N43" s="329" t="s">
        <v>1281</v>
      </c>
      <c r="O43" s="329" t="s">
        <v>1281</v>
      </c>
      <c r="P43" s="329" t="s">
        <v>1281</v>
      </c>
      <c r="Q43" s="329" t="s">
        <v>1281</v>
      </c>
      <c r="R43" s="329" t="s">
        <v>1281</v>
      </c>
      <c r="S43" s="329" t="s">
        <v>1281</v>
      </c>
      <c r="T43" s="329" t="s">
        <v>1281</v>
      </c>
      <c r="U43" s="329" t="s">
        <v>1281</v>
      </c>
      <c r="V43" s="329" t="s">
        <v>1281</v>
      </c>
      <c r="W43" s="168" t="str">
        <f>A43&amp;COUNTIF(A$7:A43,A43)</f>
        <v>-34</v>
      </c>
    </row>
    <row r="44" spans="1:23" ht="19.5" customHeight="1">
      <c r="A44" s="329" t="s">
        <v>1281</v>
      </c>
      <c r="B44" s="329" t="s">
        <v>1281</v>
      </c>
      <c r="C44" s="329" t="s">
        <v>1281</v>
      </c>
      <c r="D44" s="329" t="s">
        <v>1281</v>
      </c>
      <c r="E44" s="329" t="s">
        <v>1281</v>
      </c>
      <c r="F44" s="329" t="s">
        <v>1281</v>
      </c>
      <c r="G44" s="165"/>
      <c r="H44" s="165" t="s">
        <v>186</v>
      </c>
      <c r="I44" s="329" t="s">
        <v>1284</v>
      </c>
      <c r="J44" s="329" t="s">
        <v>1284</v>
      </c>
      <c r="K44" s="329" t="s">
        <v>580</v>
      </c>
      <c r="L44" s="329" t="s">
        <v>1284</v>
      </c>
      <c r="M44" s="329" t="s">
        <v>1281</v>
      </c>
      <c r="N44" s="329" t="s">
        <v>1281</v>
      </c>
      <c r="O44" s="329" t="s">
        <v>1281</v>
      </c>
      <c r="P44" s="329" t="s">
        <v>1281</v>
      </c>
      <c r="Q44" s="329" t="s">
        <v>1281</v>
      </c>
      <c r="R44" s="329" t="s">
        <v>1281</v>
      </c>
      <c r="S44" s="329" t="s">
        <v>1281</v>
      </c>
      <c r="T44" s="329" t="s">
        <v>1281</v>
      </c>
      <c r="U44" s="329" t="s">
        <v>1281</v>
      </c>
      <c r="V44" s="329" t="s">
        <v>1281</v>
      </c>
      <c r="W44" s="168"/>
    </row>
    <row r="45" spans="1:23" ht="19.5" customHeight="1">
      <c r="A45" s="329" t="s">
        <v>1281</v>
      </c>
      <c r="B45" s="329" t="s">
        <v>1281</v>
      </c>
      <c r="C45" s="329" t="s">
        <v>1281</v>
      </c>
      <c r="D45" s="329" t="s">
        <v>1281</v>
      </c>
      <c r="E45" s="329" t="s">
        <v>1281</v>
      </c>
      <c r="F45" s="329" t="s">
        <v>1281</v>
      </c>
      <c r="G45" s="165"/>
      <c r="H45" s="165" t="s">
        <v>186</v>
      </c>
      <c r="I45" s="329" t="s">
        <v>1284</v>
      </c>
      <c r="J45" s="329" t="s">
        <v>1284</v>
      </c>
      <c r="K45" s="329" t="s">
        <v>580</v>
      </c>
      <c r="L45" s="329" t="s">
        <v>1284</v>
      </c>
      <c r="M45" s="329" t="s">
        <v>1281</v>
      </c>
      <c r="N45" s="329" t="s">
        <v>1281</v>
      </c>
      <c r="O45" s="329" t="s">
        <v>1281</v>
      </c>
      <c r="P45" s="329" t="s">
        <v>1281</v>
      </c>
      <c r="Q45" s="329" t="s">
        <v>1281</v>
      </c>
      <c r="R45" s="329" t="s">
        <v>1281</v>
      </c>
      <c r="S45" s="329" t="s">
        <v>1281</v>
      </c>
      <c r="T45" s="329" t="s">
        <v>1281</v>
      </c>
      <c r="U45" s="329" t="s">
        <v>1281</v>
      </c>
      <c r="V45" s="329" t="s">
        <v>1281</v>
      </c>
      <c r="W45" s="168"/>
    </row>
    <row r="46" spans="1:23" ht="19.5" customHeight="1">
      <c r="A46" s="329" t="s">
        <v>1281</v>
      </c>
      <c r="B46" s="329" t="s">
        <v>1281</v>
      </c>
      <c r="C46" s="329" t="s">
        <v>1281</v>
      </c>
      <c r="D46" s="329" t="s">
        <v>1281</v>
      </c>
      <c r="E46" s="329" t="s">
        <v>1281</v>
      </c>
      <c r="F46" s="329" t="s">
        <v>1281</v>
      </c>
      <c r="G46" s="165"/>
      <c r="H46" s="165" t="s">
        <v>186</v>
      </c>
      <c r="I46" s="329" t="s">
        <v>1284</v>
      </c>
      <c r="J46" s="329" t="s">
        <v>1284</v>
      </c>
      <c r="K46" s="329" t="s">
        <v>580</v>
      </c>
      <c r="L46" s="329" t="s">
        <v>1284</v>
      </c>
      <c r="M46" s="329" t="s">
        <v>1281</v>
      </c>
      <c r="N46" s="329" t="s">
        <v>1281</v>
      </c>
      <c r="O46" s="329" t="s">
        <v>1281</v>
      </c>
      <c r="P46" s="329" t="s">
        <v>1281</v>
      </c>
      <c r="Q46" s="329" t="s">
        <v>1281</v>
      </c>
      <c r="R46" s="329" t="s">
        <v>1281</v>
      </c>
      <c r="S46" s="329" t="s">
        <v>1281</v>
      </c>
      <c r="T46" s="329" t="s">
        <v>1281</v>
      </c>
      <c r="U46" s="329" t="s">
        <v>1281</v>
      </c>
      <c r="V46" s="329" t="s">
        <v>1281</v>
      </c>
      <c r="W46" s="168"/>
    </row>
    <row r="47" spans="1:23" ht="19.5" customHeight="1">
      <c r="A47" s="329" t="s">
        <v>1281</v>
      </c>
      <c r="B47" s="329" t="s">
        <v>1281</v>
      </c>
      <c r="C47" s="329" t="s">
        <v>1281</v>
      </c>
      <c r="D47" s="329" t="s">
        <v>1281</v>
      </c>
      <c r="E47" s="329" t="s">
        <v>1281</v>
      </c>
      <c r="F47" s="329" t="s">
        <v>1281</v>
      </c>
      <c r="G47" s="165"/>
      <c r="H47" s="165" t="s">
        <v>186</v>
      </c>
      <c r="I47" s="329" t="s">
        <v>1284</v>
      </c>
      <c r="J47" s="329" t="s">
        <v>1284</v>
      </c>
      <c r="K47" s="329" t="s">
        <v>580</v>
      </c>
      <c r="L47" s="329" t="s">
        <v>1284</v>
      </c>
      <c r="M47" s="329" t="s">
        <v>1281</v>
      </c>
      <c r="N47" s="329" t="s">
        <v>1281</v>
      </c>
      <c r="O47" s="329" t="s">
        <v>1281</v>
      </c>
      <c r="P47" s="329" t="s">
        <v>1281</v>
      </c>
      <c r="Q47" s="329" t="s">
        <v>1281</v>
      </c>
      <c r="R47" s="329" t="s">
        <v>1281</v>
      </c>
      <c r="S47" s="329" t="s">
        <v>1281</v>
      </c>
      <c r="T47" s="329" t="s">
        <v>1281</v>
      </c>
      <c r="U47" s="329" t="s">
        <v>1281</v>
      </c>
      <c r="V47" s="329" t="s">
        <v>1281</v>
      </c>
      <c r="W47" s="168"/>
    </row>
    <row r="48" spans="1:23" ht="19.5" customHeight="1">
      <c r="A48" s="329" t="s">
        <v>1281</v>
      </c>
      <c r="B48" s="329" t="s">
        <v>1281</v>
      </c>
      <c r="C48" s="329" t="s">
        <v>1281</v>
      </c>
      <c r="D48" s="329" t="s">
        <v>1281</v>
      </c>
      <c r="E48" s="329" t="s">
        <v>1281</v>
      </c>
      <c r="F48" s="329" t="s">
        <v>1281</v>
      </c>
      <c r="G48" s="165"/>
      <c r="H48" s="165" t="s">
        <v>186</v>
      </c>
      <c r="I48" s="329" t="s">
        <v>1284</v>
      </c>
      <c r="J48" s="329" t="s">
        <v>1284</v>
      </c>
      <c r="K48" s="329" t="s">
        <v>580</v>
      </c>
      <c r="L48" s="329" t="s">
        <v>1284</v>
      </c>
      <c r="M48" s="329" t="s">
        <v>1281</v>
      </c>
      <c r="N48" s="329" t="s">
        <v>1281</v>
      </c>
      <c r="O48" s="329" t="s">
        <v>1281</v>
      </c>
      <c r="P48" s="329" t="s">
        <v>1281</v>
      </c>
      <c r="Q48" s="329" t="s">
        <v>1281</v>
      </c>
      <c r="R48" s="329" t="s">
        <v>1281</v>
      </c>
      <c r="S48" s="329" t="s">
        <v>1281</v>
      </c>
      <c r="T48" s="329" t="s">
        <v>1281</v>
      </c>
      <c r="U48" s="329" t="s">
        <v>1281</v>
      </c>
      <c r="V48" s="329" t="s">
        <v>1281</v>
      </c>
      <c r="W48" s="168"/>
    </row>
    <row r="49" spans="1:23" ht="19.5" customHeight="1">
      <c r="A49" s="329" t="s">
        <v>1281</v>
      </c>
      <c r="B49" s="329" t="s">
        <v>1281</v>
      </c>
      <c r="C49" s="329" t="s">
        <v>1281</v>
      </c>
      <c r="D49" s="329" t="s">
        <v>1281</v>
      </c>
      <c r="E49" s="329" t="s">
        <v>1281</v>
      </c>
      <c r="F49" s="329" t="s">
        <v>1281</v>
      </c>
      <c r="G49" s="165"/>
      <c r="H49" s="165" t="s">
        <v>186</v>
      </c>
      <c r="I49" s="329" t="s">
        <v>1284</v>
      </c>
      <c r="J49" s="329" t="s">
        <v>1284</v>
      </c>
      <c r="K49" s="329" t="s">
        <v>580</v>
      </c>
      <c r="L49" s="329" t="s">
        <v>1284</v>
      </c>
      <c r="M49" s="329" t="s">
        <v>1281</v>
      </c>
      <c r="N49" s="329" t="s">
        <v>1281</v>
      </c>
      <c r="O49" s="329" t="s">
        <v>1281</v>
      </c>
      <c r="P49" s="329" t="s">
        <v>1281</v>
      </c>
      <c r="Q49" s="329" t="s">
        <v>1281</v>
      </c>
      <c r="R49" s="329" t="s">
        <v>1281</v>
      </c>
      <c r="S49" s="329" t="s">
        <v>1281</v>
      </c>
      <c r="T49" s="329" t="s">
        <v>1281</v>
      </c>
      <c r="U49" s="329" t="s">
        <v>1281</v>
      </c>
      <c r="V49" s="329" t="s">
        <v>1281</v>
      </c>
      <c r="W49" s="168" t="str">
        <f>A49&amp;COUNTIF(A$7:A49,A49)</f>
        <v>-40</v>
      </c>
    </row>
    <row r="50" spans="1:23" ht="19.5" customHeight="1">
      <c r="A50" s="329" t="s">
        <v>1281</v>
      </c>
      <c r="B50" s="329" t="s">
        <v>1281</v>
      </c>
      <c r="C50" s="329" t="s">
        <v>1281</v>
      </c>
      <c r="D50" s="329" t="s">
        <v>1281</v>
      </c>
      <c r="E50" s="329" t="s">
        <v>1281</v>
      </c>
      <c r="F50" s="329" t="s">
        <v>1281</v>
      </c>
      <c r="G50" s="165"/>
      <c r="H50" s="165" t="s">
        <v>186</v>
      </c>
      <c r="I50" s="329" t="s">
        <v>1284</v>
      </c>
      <c r="J50" s="329" t="s">
        <v>1284</v>
      </c>
      <c r="K50" s="329" t="s">
        <v>580</v>
      </c>
      <c r="L50" s="329" t="s">
        <v>1284</v>
      </c>
      <c r="M50" s="329" t="s">
        <v>1281</v>
      </c>
      <c r="N50" s="329" t="s">
        <v>1281</v>
      </c>
      <c r="O50" s="329" t="s">
        <v>1281</v>
      </c>
      <c r="P50" s="329" t="s">
        <v>1281</v>
      </c>
      <c r="Q50" s="329" t="s">
        <v>1281</v>
      </c>
      <c r="R50" s="329" t="s">
        <v>1281</v>
      </c>
      <c r="S50" s="329" t="s">
        <v>1281</v>
      </c>
      <c r="T50" s="329" t="s">
        <v>1281</v>
      </c>
      <c r="U50" s="329" t="s">
        <v>1281</v>
      </c>
      <c r="V50" s="329" t="s">
        <v>1281</v>
      </c>
      <c r="W50" s="168" t="str">
        <f>A50&amp;COUNTIF(A$7:A50,A50)</f>
        <v>-41</v>
      </c>
    </row>
    <row r="51" spans="1:23" ht="19.5" customHeight="1">
      <c r="A51" s="329" t="s">
        <v>1281</v>
      </c>
      <c r="B51" s="329" t="s">
        <v>1281</v>
      </c>
      <c r="C51" s="329" t="s">
        <v>1281</v>
      </c>
      <c r="D51" s="329" t="s">
        <v>1281</v>
      </c>
      <c r="E51" s="329" t="s">
        <v>1281</v>
      </c>
      <c r="F51" s="329" t="s">
        <v>1281</v>
      </c>
      <c r="G51" s="165"/>
      <c r="H51" s="165" t="s">
        <v>186</v>
      </c>
      <c r="I51" s="329" t="s">
        <v>1284</v>
      </c>
      <c r="J51" s="329" t="s">
        <v>1284</v>
      </c>
      <c r="K51" s="329" t="s">
        <v>580</v>
      </c>
      <c r="L51" s="329" t="s">
        <v>1284</v>
      </c>
      <c r="M51" s="329" t="s">
        <v>1281</v>
      </c>
      <c r="N51" s="329" t="s">
        <v>1281</v>
      </c>
      <c r="O51" s="329" t="s">
        <v>1281</v>
      </c>
      <c r="P51" s="329" t="s">
        <v>1281</v>
      </c>
      <c r="Q51" s="329" t="s">
        <v>1281</v>
      </c>
      <c r="R51" s="329" t="s">
        <v>1281</v>
      </c>
      <c r="S51" s="329" t="s">
        <v>1281</v>
      </c>
      <c r="T51" s="329" t="s">
        <v>1281</v>
      </c>
      <c r="U51" s="329" t="s">
        <v>1281</v>
      </c>
      <c r="V51" s="329" t="s">
        <v>1281</v>
      </c>
      <c r="W51" s="168" t="str">
        <f>A51&amp;COUNTIF(A$7:A51,A51)</f>
        <v>-42</v>
      </c>
    </row>
    <row r="52" spans="1:23" ht="19.5" customHeight="1">
      <c r="G52" s="167"/>
      <c r="H52" s="167"/>
      <c r="I52" s="167"/>
    </row>
  </sheetData>
  <dataConsolidate link="1"/>
  <mergeCells count="3">
    <mergeCell ref="E3:J3"/>
    <mergeCell ref="K5:L5"/>
    <mergeCell ref="P5:Q5"/>
  </mergeCells>
  <phoneticPr fontId="20"/>
  <conditionalFormatting sqref="G7:J7 H11 H37:H51 H12:I21 G8:G21 H8:J10">
    <cfRule type="expression" dxfId="156" priority="9">
      <formula>LENB(G7)&gt;30</formula>
    </cfRule>
  </conditionalFormatting>
  <conditionalFormatting sqref="G37:I40 G41:H51">
    <cfRule type="expression" dxfId="155" priority="8">
      <formula>LENB(G37)&gt;30</formula>
    </cfRule>
  </conditionalFormatting>
  <conditionalFormatting sqref="J37:J40">
    <cfRule type="expression" dxfId="154" priority="7">
      <formula>LENB(J37)&gt;30</formula>
    </cfRule>
  </conditionalFormatting>
  <conditionalFormatting sqref="H22:H36">
    <cfRule type="expression" dxfId="153" priority="6">
      <formula>LENB(H22)&gt;30</formula>
    </cfRule>
  </conditionalFormatting>
  <conditionalFormatting sqref="G22:I25 G26:H36">
    <cfRule type="expression" dxfId="152" priority="5">
      <formula>LENB(G22)&gt;30</formula>
    </cfRule>
  </conditionalFormatting>
  <conditionalFormatting sqref="J22:J25">
    <cfRule type="expression" dxfId="151" priority="4">
      <formula>LENB(J22)&gt;30</formula>
    </cfRule>
  </conditionalFormatting>
  <conditionalFormatting sqref="I27:I36">
    <cfRule type="expression" dxfId="150" priority="3">
      <formula>LENB(I27)&gt;30</formula>
    </cfRule>
  </conditionalFormatting>
  <conditionalFormatting sqref="I42:I51">
    <cfRule type="expression" dxfId="149" priority="1">
      <formula>LENB(I42)&gt;30</formula>
    </cfRule>
  </conditionalFormatting>
  <dataValidations count="3">
    <dataValidation type="list" allowBlank="1" showInputMessage="1" showErrorMessage="1" sqref="J7:J10 J37:J40 J22:J25" xr:uid="{00000000-0002-0000-0C00-000000000000}">
      <formula1>説明文位置</formula1>
    </dataValidation>
    <dataValidation type="list" allowBlank="1" showInputMessage="1" sqref="B7 B22 B37" xr:uid="{00000000-0002-0000-0C00-000001000000}">
      <formula1>ステータス</formula1>
    </dataValidation>
    <dataValidation type="list" allowBlank="1" showInputMessage="1" showErrorMessage="1" sqref="H7:H51" xr:uid="{00000000-0002-0000-0C00-000003000000}">
      <formula1>見出し位置</formula1>
    </dataValidation>
  </dataValidations>
  <pageMargins left="0.7" right="0.7" top="0.75" bottom="0.75" header="0.3" footer="0.3"/>
  <pageSetup paperSize="9" scale="2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9" r:id="rId4" name="Button 3">
              <controlPr defaultSize="0" print="0" autoFill="0" autoPict="0" macro="[0]!ResponsiveCopy">
                <anchor moveWithCells="1" sizeWithCells="1">
                  <from>
                    <xdr:col>0</xdr:col>
                    <xdr:colOff>361950</xdr:colOff>
                    <xdr:row>2</xdr:row>
                    <xdr:rowOff>123825</xdr:rowOff>
                  </from>
                  <to>
                    <xdr:col>2</xdr:col>
                    <xdr:colOff>1009650</xdr:colOff>
                    <xdr:row>2</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C00-000002000000}">
          <x14:formula1>
            <xm:f>入力規則!$H$4:$H$5</xm:f>
          </x14:formula1>
          <xm:sqref>A7 A37 A22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8">
    <tabColor theme="5" tint="0.79998168889431442"/>
    <pageSetUpPr fitToPage="1"/>
  </sheetPr>
  <dimension ref="A1:BA21"/>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1" width="7" style="143" customWidth="1"/>
    <col min="2" max="2" width="7.21875" style="143" bestFit="1" customWidth="1"/>
    <col min="3" max="3" width="10.77734375" style="143" bestFit="1" customWidth="1"/>
    <col min="4" max="4" width="19.6640625" style="143" customWidth="1"/>
    <col min="5" max="6" width="25.77734375" style="143" customWidth="1"/>
    <col min="7" max="7" width="11.77734375" style="142" customWidth="1"/>
    <col min="8" max="8" width="17.88671875" style="142" customWidth="1"/>
    <col min="9" max="9" width="14.5546875" style="142" customWidth="1"/>
    <col min="10" max="10" width="15.44140625" style="142" customWidth="1"/>
    <col min="11" max="11" width="14.5546875" style="142" customWidth="1"/>
    <col min="12" max="12" width="15.44140625" style="142" customWidth="1"/>
    <col min="13" max="13" width="14.5546875" style="142" customWidth="1"/>
    <col min="14" max="14" width="15.44140625" style="142" customWidth="1"/>
    <col min="15" max="15" width="14.5546875" style="142" customWidth="1"/>
    <col min="16" max="16" width="15.44140625" style="142" customWidth="1"/>
    <col min="17" max="17" width="17.88671875" style="142" customWidth="1"/>
    <col min="18" max="18" width="14.5546875" style="142" customWidth="1"/>
    <col min="19" max="19" width="15.44140625" style="142" customWidth="1"/>
    <col min="20" max="20" width="14.5546875" style="142" customWidth="1"/>
    <col min="21" max="21" width="15.44140625" style="142" customWidth="1"/>
    <col min="22" max="22" width="14.5546875" style="142" customWidth="1"/>
    <col min="23" max="23" width="15.44140625" style="142" customWidth="1"/>
    <col min="24" max="24" width="14.5546875" style="142" customWidth="1"/>
    <col min="25" max="25" width="15.44140625" style="142" customWidth="1"/>
    <col min="26" max="26" width="17.88671875" style="142" customWidth="1"/>
    <col min="27" max="27" width="14.5546875" style="142" customWidth="1"/>
    <col min="28" max="28" width="15.44140625" style="142" customWidth="1"/>
    <col min="29" max="29" width="14.5546875" style="142" customWidth="1"/>
    <col min="30" max="30" width="15.44140625" style="142" customWidth="1"/>
    <col min="31" max="31" width="14.5546875" style="142" customWidth="1"/>
    <col min="32" max="32" width="15.44140625" style="142" customWidth="1"/>
    <col min="33" max="33" width="14.5546875" style="142" customWidth="1"/>
    <col min="34" max="34" width="15.44140625" style="142" customWidth="1"/>
    <col min="35" max="35" width="14.5546875" style="142" customWidth="1"/>
    <col min="36" max="36" width="15.44140625" style="142" customWidth="1"/>
    <col min="37" max="37" width="10.88671875" style="142" bestFit="1" customWidth="1"/>
    <col min="38" max="38" width="17.6640625" style="142" bestFit="1" customWidth="1"/>
    <col min="39" max="39" width="10.88671875" style="142" bestFit="1" customWidth="1"/>
    <col min="40" max="40" width="17.6640625" style="142" bestFit="1" customWidth="1"/>
    <col min="41" max="41" width="10.88671875" style="142" bestFit="1" customWidth="1"/>
    <col min="42" max="42" width="17.6640625" style="142" bestFit="1" customWidth="1"/>
    <col min="43" max="43" width="10.88671875" style="142" bestFit="1" customWidth="1"/>
    <col min="44" max="44" width="17.6640625" style="142" bestFit="1" customWidth="1"/>
    <col min="45" max="47" width="15.77734375" style="142" customWidth="1"/>
    <col min="48" max="48" width="26.77734375" style="142" customWidth="1"/>
    <col min="49" max="52" width="15.77734375" style="142" customWidth="1"/>
    <col min="53" max="53" width="8.88671875" style="142" hidden="1" customWidth="1"/>
    <col min="54" max="16384" width="8.88671875" style="142"/>
  </cols>
  <sheetData>
    <row r="1" spans="1:53" ht="19.5" customHeight="1">
      <c r="A1" s="114" t="str">
        <f>"Ver."&amp;変更履歴!$B$1</f>
        <v>Ver.10.1</v>
      </c>
      <c r="BA1" s="168"/>
    </row>
    <row r="2" spans="1:53" ht="19.5" customHeight="1">
      <c r="A2" s="310" t="s">
        <v>1925</v>
      </c>
      <c r="BA2" s="168"/>
    </row>
    <row r="3" spans="1:53" ht="20.25" customHeight="1">
      <c r="A3" s="310"/>
      <c r="BA3" s="168"/>
    </row>
    <row r="4" spans="1:53" s="143" customFormat="1" ht="46.5" customHeight="1">
      <c r="A4" s="311" t="s">
        <v>18</v>
      </c>
      <c r="B4" s="398" t="s">
        <v>1559</v>
      </c>
      <c r="C4" s="311" t="s">
        <v>14</v>
      </c>
      <c r="D4" s="311" t="s">
        <v>28</v>
      </c>
      <c r="E4" s="311" t="s">
        <v>7</v>
      </c>
      <c r="F4" s="312" t="s">
        <v>1558</v>
      </c>
      <c r="G4" s="312" t="s">
        <v>1926</v>
      </c>
      <c r="H4" s="313" t="s">
        <v>1927</v>
      </c>
      <c r="I4" s="313" t="s">
        <v>1928</v>
      </c>
      <c r="J4" s="313" t="s">
        <v>1929</v>
      </c>
      <c r="K4" s="313" t="s">
        <v>1930</v>
      </c>
      <c r="L4" s="313" t="s">
        <v>1931</v>
      </c>
      <c r="M4" s="313" t="s">
        <v>1932</v>
      </c>
      <c r="N4" s="313" t="s">
        <v>1933</v>
      </c>
      <c r="O4" s="313" t="s">
        <v>1934</v>
      </c>
      <c r="P4" s="313" t="s">
        <v>1935</v>
      </c>
      <c r="Q4" s="313" t="s">
        <v>1936</v>
      </c>
      <c r="R4" s="313" t="s">
        <v>1937</v>
      </c>
      <c r="S4" s="313" t="s">
        <v>1939</v>
      </c>
      <c r="T4" s="313" t="s">
        <v>1938</v>
      </c>
      <c r="U4" s="313" t="s">
        <v>1940</v>
      </c>
      <c r="V4" s="313" t="s">
        <v>1948</v>
      </c>
      <c r="W4" s="313" t="s">
        <v>1941</v>
      </c>
      <c r="X4" s="313" t="s">
        <v>1949</v>
      </c>
      <c r="Y4" s="313" t="s">
        <v>1942</v>
      </c>
      <c r="Z4" s="313" t="s">
        <v>1950</v>
      </c>
      <c r="AA4" s="313" t="s">
        <v>1943</v>
      </c>
      <c r="AB4" s="313" t="s">
        <v>1951</v>
      </c>
      <c r="AC4" s="313" t="s">
        <v>1944</v>
      </c>
      <c r="AD4" s="313" t="s">
        <v>1952</v>
      </c>
      <c r="AE4" s="313" t="s">
        <v>1945</v>
      </c>
      <c r="AF4" s="313" t="s">
        <v>1953</v>
      </c>
      <c r="AG4" s="313" t="s">
        <v>1946</v>
      </c>
      <c r="AH4" s="313" t="s">
        <v>1954</v>
      </c>
      <c r="AI4" s="313" t="s">
        <v>1947</v>
      </c>
      <c r="AJ4" s="313" t="s">
        <v>1955</v>
      </c>
      <c r="AK4" s="312" t="s">
        <v>1956</v>
      </c>
      <c r="AL4" s="313" t="s">
        <v>1960</v>
      </c>
      <c r="AM4" s="312" t="s">
        <v>1957</v>
      </c>
      <c r="AN4" s="313" t="s">
        <v>1961</v>
      </c>
      <c r="AO4" s="312" t="s">
        <v>1958</v>
      </c>
      <c r="AP4" s="313" t="s">
        <v>1962</v>
      </c>
      <c r="AQ4" s="312" t="s">
        <v>1959</v>
      </c>
      <c r="AR4" s="313" t="s">
        <v>1963</v>
      </c>
      <c r="AS4" s="314" t="s">
        <v>1564</v>
      </c>
      <c r="AT4" s="312" t="s">
        <v>1964</v>
      </c>
      <c r="AU4" s="312" t="s">
        <v>1965</v>
      </c>
      <c r="AV4" s="312" t="s">
        <v>20</v>
      </c>
      <c r="AW4" s="312" t="s">
        <v>25</v>
      </c>
      <c r="AX4" s="312" t="s">
        <v>23</v>
      </c>
      <c r="AY4" s="312" t="s">
        <v>669</v>
      </c>
      <c r="AZ4" s="312" t="s">
        <v>706</v>
      </c>
      <c r="BA4" s="168"/>
    </row>
    <row r="5" spans="1:53" ht="19.5" customHeight="1">
      <c r="A5" s="362" t="s">
        <v>1978</v>
      </c>
      <c r="B5" s="364">
        <v>1</v>
      </c>
      <c r="C5" s="362" t="s">
        <v>673</v>
      </c>
      <c r="D5" s="363"/>
      <c r="E5" s="360"/>
      <c r="F5" s="360"/>
      <c r="G5" s="363"/>
      <c r="H5" s="363"/>
      <c r="I5" s="363"/>
      <c r="J5" s="363"/>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3"/>
      <c r="AP5" s="363"/>
      <c r="AQ5" s="363"/>
      <c r="AR5" s="363"/>
      <c r="AS5" s="366" t="str">
        <f t="shared" ref="AS5:AS20" si="0">IF(AV5="","※関数で自動入力",LEFT(MID(AV5,FIND("://",AV5)+3,999),FIND("/",MID(AV5,FIND("://",AV5)+3,999),1)))</f>
        <v>※関数で自動入力</v>
      </c>
      <c r="AT5" s="360"/>
      <c r="AU5" s="360"/>
      <c r="AV5" s="360"/>
      <c r="AW5" s="360"/>
      <c r="AX5" s="360"/>
      <c r="AY5" s="360"/>
      <c r="AZ5" s="360"/>
      <c r="BA5" s="168" t="str">
        <f>A5&amp;COUNTIF(A$5:A5,A5)</f>
        <v>Google1</v>
      </c>
    </row>
    <row r="6" spans="1:53" ht="19.5" customHeight="1">
      <c r="A6" s="362" t="s">
        <v>1978</v>
      </c>
      <c r="B6" s="364">
        <v>2</v>
      </c>
      <c r="C6" s="362" t="s">
        <v>673</v>
      </c>
      <c r="D6" s="363"/>
      <c r="E6" s="360"/>
      <c r="F6" s="360"/>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6" t="str">
        <f t="shared" si="0"/>
        <v>※関数で自動入力</v>
      </c>
      <c r="AT6" s="360"/>
      <c r="AU6" s="360"/>
      <c r="AV6" s="360"/>
      <c r="AW6" s="360"/>
      <c r="AX6" s="360"/>
      <c r="AY6" s="360"/>
      <c r="AZ6" s="360"/>
      <c r="BA6" s="168" t="str">
        <f>A6&amp;COUNTIF(A$5:A6,A6)</f>
        <v>Google2</v>
      </c>
    </row>
    <row r="7" spans="1:53" ht="19.5" customHeight="1">
      <c r="A7" s="362" t="s">
        <v>1978</v>
      </c>
      <c r="B7" s="364">
        <v>3</v>
      </c>
      <c r="C7" s="362" t="s">
        <v>673</v>
      </c>
      <c r="D7" s="363"/>
      <c r="E7" s="360"/>
      <c r="F7" s="360"/>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3"/>
      <c r="AP7" s="363"/>
      <c r="AQ7" s="363"/>
      <c r="AR7" s="363"/>
      <c r="AS7" s="366" t="str">
        <f t="shared" si="0"/>
        <v>※関数で自動入力</v>
      </c>
      <c r="AT7" s="360"/>
      <c r="AU7" s="360"/>
      <c r="AV7" s="360"/>
      <c r="AW7" s="360"/>
      <c r="AX7" s="360"/>
      <c r="AY7" s="360"/>
      <c r="AZ7" s="360"/>
      <c r="BA7" s="168" t="str">
        <f>A7&amp;COUNTIF(A$5:A7,A7)</f>
        <v>Google3</v>
      </c>
    </row>
    <row r="8" spans="1:53" ht="19.5" customHeight="1">
      <c r="A8" s="362" t="s">
        <v>1978</v>
      </c>
      <c r="B8" s="364">
        <v>4</v>
      </c>
      <c r="C8" s="362" t="s">
        <v>673</v>
      </c>
      <c r="D8" s="363"/>
      <c r="E8" s="360"/>
      <c r="F8" s="360"/>
      <c r="G8" s="363"/>
      <c r="H8" s="363"/>
      <c r="I8" s="363"/>
      <c r="J8" s="363"/>
      <c r="K8" s="363"/>
      <c r="L8" s="363"/>
      <c r="M8" s="363"/>
      <c r="N8" s="363"/>
      <c r="O8" s="363"/>
      <c r="P8" s="363"/>
      <c r="Q8" s="363"/>
      <c r="R8" s="363"/>
      <c r="S8" s="363"/>
      <c r="T8" s="363"/>
      <c r="U8" s="363"/>
      <c r="V8" s="363"/>
      <c r="W8" s="363"/>
      <c r="X8" s="363"/>
      <c r="Y8" s="363"/>
      <c r="Z8" s="363"/>
      <c r="AA8" s="363"/>
      <c r="AB8" s="363"/>
      <c r="AC8" s="363"/>
      <c r="AD8" s="363"/>
      <c r="AE8" s="363"/>
      <c r="AF8" s="363"/>
      <c r="AG8" s="363"/>
      <c r="AH8" s="363"/>
      <c r="AI8" s="363"/>
      <c r="AJ8" s="363"/>
      <c r="AK8" s="363"/>
      <c r="AL8" s="363"/>
      <c r="AM8" s="363"/>
      <c r="AN8" s="363"/>
      <c r="AO8" s="363"/>
      <c r="AP8" s="363"/>
      <c r="AQ8" s="363"/>
      <c r="AR8" s="363"/>
      <c r="AS8" s="366" t="str">
        <f t="shared" si="0"/>
        <v>※関数で自動入力</v>
      </c>
      <c r="AT8" s="360"/>
      <c r="AU8" s="360"/>
      <c r="AV8" s="360"/>
      <c r="AW8" s="360"/>
      <c r="AX8" s="360"/>
      <c r="AY8" s="360"/>
      <c r="AZ8" s="360"/>
      <c r="BA8" s="168"/>
    </row>
    <row r="9" spans="1:53" ht="19.5" customHeight="1">
      <c r="A9" s="362" t="s">
        <v>1978</v>
      </c>
      <c r="B9" s="364">
        <v>5</v>
      </c>
      <c r="C9" s="362" t="s">
        <v>673</v>
      </c>
      <c r="D9" s="363"/>
      <c r="E9" s="360"/>
      <c r="F9" s="360"/>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6" t="str">
        <f t="shared" si="0"/>
        <v>※関数で自動入力</v>
      </c>
      <c r="AT9" s="360"/>
      <c r="AU9" s="360"/>
      <c r="AV9" s="360"/>
      <c r="AW9" s="360"/>
      <c r="AX9" s="360"/>
      <c r="AY9" s="360"/>
      <c r="AZ9" s="360"/>
      <c r="BA9" s="168"/>
    </row>
    <row r="10" spans="1:53" ht="19.5" customHeight="1">
      <c r="A10" s="362" t="s">
        <v>1978</v>
      </c>
      <c r="B10" s="364">
        <v>6</v>
      </c>
      <c r="C10" s="362" t="s">
        <v>673</v>
      </c>
      <c r="D10" s="363"/>
      <c r="E10" s="360"/>
      <c r="F10" s="360"/>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63"/>
      <c r="AI10" s="363"/>
      <c r="AJ10" s="363"/>
      <c r="AK10" s="363"/>
      <c r="AL10" s="363"/>
      <c r="AM10" s="363"/>
      <c r="AN10" s="363"/>
      <c r="AO10" s="363"/>
      <c r="AP10" s="363"/>
      <c r="AQ10" s="363"/>
      <c r="AR10" s="363"/>
      <c r="AS10" s="366" t="str">
        <f t="shared" si="0"/>
        <v>※関数で自動入力</v>
      </c>
      <c r="AT10" s="360"/>
      <c r="AU10" s="360"/>
      <c r="AV10" s="360"/>
      <c r="AW10" s="360"/>
      <c r="AX10" s="360"/>
      <c r="AY10" s="360"/>
      <c r="AZ10" s="360"/>
      <c r="BA10" s="168"/>
    </row>
    <row r="11" spans="1:53" ht="19.5" customHeight="1">
      <c r="A11" s="362" t="s">
        <v>1978</v>
      </c>
      <c r="B11" s="364">
        <v>7</v>
      </c>
      <c r="C11" s="362" t="s">
        <v>673</v>
      </c>
      <c r="D11" s="363"/>
      <c r="E11" s="360"/>
      <c r="F11" s="360"/>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63"/>
      <c r="AH11" s="363"/>
      <c r="AI11" s="363"/>
      <c r="AJ11" s="363"/>
      <c r="AK11" s="363"/>
      <c r="AL11" s="363"/>
      <c r="AM11" s="363"/>
      <c r="AN11" s="363"/>
      <c r="AO11" s="363"/>
      <c r="AP11" s="363"/>
      <c r="AQ11" s="363"/>
      <c r="AR11" s="363"/>
      <c r="AS11" s="366" t="str">
        <f t="shared" si="0"/>
        <v>※関数で自動入力</v>
      </c>
      <c r="AT11" s="360"/>
      <c r="AU11" s="360"/>
      <c r="AV11" s="360"/>
      <c r="AW11" s="360"/>
      <c r="AX11" s="360"/>
      <c r="AY11" s="360"/>
      <c r="AZ11" s="360"/>
      <c r="BA11" s="168"/>
    </row>
    <row r="12" spans="1:53" ht="19.5" customHeight="1">
      <c r="A12" s="362" t="s">
        <v>1978</v>
      </c>
      <c r="B12" s="364">
        <v>8</v>
      </c>
      <c r="C12" s="362" t="s">
        <v>673</v>
      </c>
      <c r="D12" s="363"/>
      <c r="E12" s="360"/>
      <c r="F12" s="360"/>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6" t="str">
        <f t="shared" si="0"/>
        <v>※関数で自動入力</v>
      </c>
      <c r="AT12" s="360"/>
      <c r="AU12" s="360"/>
      <c r="AV12" s="360"/>
      <c r="AW12" s="360"/>
      <c r="AX12" s="360"/>
      <c r="AY12" s="360"/>
      <c r="AZ12" s="360"/>
      <c r="BA12" s="168"/>
    </row>
    <row r="13" spans="1:53" ht="19.5" customHeight="1">
      <c r="A13" s="362" t="s">
        <v>1978</v>
      </c>
      <c r="B13" s="364">
        <v>9</v>
      </c>
      <c r="C13" s="362" t="s">
        <v>673</v>
      </c>
      <c r="D13" s="363"/>
      <c r="E13" s="360"/>
      <c r="F13" s="360"/>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c r="AP13" s="363"/>
      <c r="AQ13" s="363"/>
      <c r="AR13" s="363"/>
      <c r="AS13" s="366" t="str">
        <f t="shared" si="0"/>
        <v>※関数で自動入力</v>
      </c>
      <c r="AT13" s="360"/>
      <c r="AU13" s="360"/>
      <c r="AV13" s="360"/>
      <c r="AW13" s="360"/>
      <c r="AX13" s="360"/>
      <c r="AY13" s="360"/>
      <c r="AZ13" s="360"/>
      <c r="BA13" s="168" t="str">
        <f>A13&amp;COUNTIF(A$5:A13,A13)</f>
        <v>Google9</v>
      </c>
    </row>
    <row r="14" spans="1:53" ht="19.5" customHeight="1">
      <c r="A14" s="362" t="s">
        <v>1978</v>
      </c>
      <c r="B14" s="364">
        <v>10</v>
      </c>
      <c r="C14" s="362" t="s">
        <v>673</v>
      </c>
      <c r="D14" s="363"/>
      <c r="E14" s="360"/>
      <c r="F14" s="360"/>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6" t="str">
        <f t="shared" si="0"/>
        <v>※関数で自動入力</v>
      </c>
      <c r="AT14" s="360"/>
      <c r="AU14" s="360"/>
      <c r="AV14" s="360"/>
      <c r="AW14" s="360"/>
      <c r="AX14" s="360"/>
      <c r="AY14" s="360"/>
      <c r="AZ14" s="360"/>
      <c r="BA14" s="168"/>
    </row>
    <row r="15" spans="1:53" ht="19.5" customHeight="1">
      <c r="A15" s="362" t="s">
        <v>1978</v>
      </c>
      <c r="B15" s="364">
        <v>11</v>
      </c>
      <c r="C15" s="362" t="s">
        <v>673</v>
      </c>
      <c r="D15" s="363"/>
      <c r="E15" s="360"/>
      <c r="F15" s="360"/>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63"/>
      <c r="AI15" s="363"/>
      <c r="AJ15" s="363"/>
      <c r="AK15" s="363"/>
      <c r="AL15" s="363"/>
      <c r="AM15" s="363"/>
      <c r="AN15" s="363"/>
      <c r="AO15" s="363"/>
      <c r="AP15" s="363"/>
      <c r="AQ15" s="363"/>
      <c r="AR15" s="363"/>
      <c r="AS15" s="366" t="str">
        <f t="shared" si="0"/>
        <v>※関数で自動入力</v>
      </c>
      <c r="AT15" s="360"/>
      <c r="AU15" s="360"/>
      <c r="AV15" s="360"/>
      <c r="AW15" s="360"/>
      <c r="AX15" s="360"/>
      <c r="AY15" s="360"/>
      <c r="AZ15" s="360"/>
      <c r="BA15" s="168"/>
    </row>
    <row r="16" spans="1:53" ht="19.5" customHeight="1">
      <c r="A16" s="362" t="s">
        <v>1978</v>
      </c>
      <c r="B16" s="364">
        <v>12</v>
      </c>
      <c r="C16" s="362" t="s">
        <v>673</v>
      </c>
      <c r="D16" s="363"/>
      <c r="E16" s="360"/>
      <c r="F16" s="360"/>
      <c r="G16" s="363"/>
      <c r="H16" s="363"/>
      <c r="I16" s="363"/>
      <c r="J16" s="363"/>
      <c r="K16" s="363"/>
      <c r="L16" s="363"/>
      <c r="M16" s="363"/>
      <c r="N16" s="363"/>
      <c r="O16" s="363"/>
      <c r="P16" s="363"/>
      <c r="Q16" s="363"/>
      <c r="R16" s="363"/>
      <c r="S16" s="363"/>
      <c r="T16" s="363"/>
      <c r="U16" s="363"/>
      <c r="V16" s="363"/>
      <c r="W16" s="363"/>
      <c r="X16" s="363"/>
      <c r="Y16" s="363"/>
      <c r="Z16" s="363"/>
      <c r="AA16" s="363"/>
      <c r="AB16" s="363"/>
      <c r="AC16" s="363"/>
      <c r="AD16" s="363"/>
      <c r="AE16" s="363"/>
      <c r="AF16" s="363"/>
      <c r="AG16" s="363"/>
      <c r="AH16" s="363"/>
      <c r="AI16" s="363"/>
      <c r="AJ16" s="363"/>
      <c r="AK16" s="363"/>
      <c r="AL16" s="363"/>
      <c r="AM16" s="363"/>
      <c r="AN16" s="363"/>
      <c r="AO16" s="363"/>
      <c r="AP16" s="363"/>
      <c r="AQ16" s="363"/>
      <c r="AR16" s="363"/>
      <c r="AS16" s="366" t="str">
        <f t="shared" si="0"/>
        <v>※関数で自動入力</v>
      </c>
      <c r="AT16" s="360"/>
      <c r="AU16" s="360"/>
      <c r="AV16" s="360"/>
      <c r="AW16" s="360"/>
      <c r="AX16" s="360"/>
      <c r="AY16" s="360"/>
      <c r="AZ16" s="360"/>
      <c r="BA16" s="168"/>
    </row>
    <row r="17" spans="1:53" ht="19.5" customHeight="1">
      <c r="A17" s="362" t="s">
        <v>1978</v>
      </c>
      <c r="B17" s="364">
        <v>13</v>
      </c>
      <c r="C17" s="362" t="s">
        <v>673</v>
      </c>
      <c r="D17" s="363"/>
      <c r="E17" s="360"/>
      <c r="F17" s="360"/>
      <c r="G17" s="363"/>
      <c r="H17" s="363"/>
      <c r="I17" s="363"/>
      <c r="J17" s="363"/>
      <c r="K17" s="363"/>
      <c r="L17" s="363"/>
      <c r="M17" s="363"/>
      <c r="N17" s="363"/>
      <c r="O17" s="363"/>
      <c r="P17" s="363"/>
      <c r="Q17" s="363"/>
      <c r="R17" s="363"/>
      <c r="S17" s="363"/>
      <c r="T17" s="363"/>
      <c r="U17" s="363"/>
      <c r="V17" s="363"/>
      <c r="W17" s="363"/>
      <c r="X17" s="363"/>
      <c r="Y17" s="363"/>
      <c r="Z17" s="363"/>
      <c r="AA17" s="363"/>
      <c r="AB17" s="363"/>
      <c r="AC17" s="363"/>
      <c r="AD17" s="363"/>
      <c r="AE17" s="363"/>
      <c r="AF17" s="363"/>
      <c r="AG17" s="363"/>
      <c r="AH17" s="363"/>
      <c r="AI17" s="363"/>
      <c r="AJ17" s="363"/>
      <c r="AK17" s="363"/>
      <c r="AL17" s="363"/>
      <c r="AM17" s="363"/>
      <c r="AN17" s="363"/>
      <c r="AO17" s="363"/>
      <c r="AP17" s="363"/>
      <c r="AQ17" s="363"/>
      <c r="AR17" s="363"/>
      <c r="AS17" s="366" t="str">
        <f t="shared" si="0"/>
        <v>※関数で自動入力</v>
      </c>
      <c r="AT17" s="360"/>
      <c r="AU17" s="360"/>
      <c r="AV17" s="360"/>
      <c r="AW17" s="360"/>
      <c r="AX17" s="360"/>
      <c r="AY17" s="360"/>
      <c r="AZ17" s="360"/>
      <c r="BA17" s="168"/>
    </row>
    <row r="18" spans="1:53" ht="19.5" customHeight="1">
      <c r="A18" s="362" t="s">
        <v>1978</v>
      </c>
      <c r="B18" s="364">
        <v>14</v>
      </c>
      <c r="C18" s="362" t="s">
        <v>673</v>
      </c>
      <c r="D18" s="363"/>
      <c r="E18" s="360"/>
      <c r="F18" s="360"/>
      <c r="G18" s="363"/>
      <c r="H18" s="363"/>
      <c r="I18" s="363"/>
      <c r="J18" s="363"/>
      <c r="K18" s="363"/>
      <c r="L18" s="363"/>
      <c r="M18" s="363"/>
      <c r="N18" s="363"/>
      <c r="O18" s="363"/>
      <c r="P18" s="363"/>
      <c r="Q18" s="363"/>
      <c r="R18" s="363"/>
      <c r="S18" s="363"/>
      <c r="T18" s="363"/>
      <c r="U18" s="363"/>
      <c r="V18" s="363"/>
      <c r="W18" s="363"/>
      <c r="X18" s="363"/>
      <c r="Y18" s="363"/>
      <c r="Z18" s="363"/>
      <c r="AA18" s="363"/>
      <c r="AB18" s="363"/>
      <c r="AC18" s="363"/>
      <c r="AD18" s="363"/>
      <c r="AE18" s="363"/>
      <c r="AF18" s="363"/>
      <c r="AG18" s="363"/>
      <c r="AH18" s="363"/>
      <c r="AI18" s="363"/>
      <c r="AJ18" s="363"/>
      <c r="AK18" s="363"/>
      <c r="AL18" s="363"/>
      <c r="AM18" s="363"/>
      <c r="AN18" s="363"/>
      <c r="AO18" s="363"/>
      <c r="AP18" s="363"/>
      <c r="AQ18" s="363"/>
      <c r="AR18" s="363"/>
      <c r="AS18" s="366" t="str">
        <f t="shared" si="0"/>
        <v>※関数で自動入力</v>
      </c>
      <c r="AT18" s="360"/>
      <c r="AU18" s="360"/>
      <c r="AV18" s="360"/>
      <c r="AW18" s="360"/>
      <c r="AX18" s="360"/>
      <c r="AY18" s="360"/>
      <c r="AZ18" s="360"/>
      <c r="BA18" s="168"/>
    </row>
    <row r="19" spans="1:53" ht="19.5" customHeight="1">
      <c r="A19" s="362" t="s">
        <v>1978</v>
      </c>
      <c r="B19" s="364">
        <v>15</v>
      </c>
      <c r="C19" s="362" t="s">
        <v>673</v>
      </c>
      <c r="D19" s="363"/>
      <c r="E19" s="360"/>
      <c r="F19" s="360"/>
      <c r="G19" s="363"/>
      <c r="H19" s="363"/>
      <c r="I19" s="363"/>
      <c r="J19" s="363"/>
      <c r="K19" s="363"/>
      <c r="L19" s="363"/>
      <c r="M19" s="363"/>
      <c r="N19" s="363"/>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s="363"/>
      <c r="AN19" s="363"/>
      <c r="AO19" s="363"/>
      <c r="AP19" s="363"/>
      <c r="AQ19" s="363"/>
      <c r="AR19" s="363"/>
      <c r="AS19" s="366" t="str">
        <f t="shared" si="0"/>
        <v>※関数で自動入力</v>
      </c>
      <c r="AT19" s="360"/>
      <c r="AU19" s="360"/>
      <c r="AV19" s="360"/>
      <c r="AW19" s="360"/>
      <c r="AX19" s="360"/>
      <c r="AY19" s="360"/>
      <c r="AZ19" s="360"/>
      <c r="BA19" s="168" t="str">
        <f>A19&amp;COUNTIF(A$5:A19,A19)</f>
        <v>Google15</v>
      </c>
    </row>
    <row r="20" spans="1:53" ht="19.5" customHeight="1">
      <c r="A20" s="173" t="s">
        <v>1978</v>
      </c>
      <c r="B20" s="397">
        <v>16</v>
      </c>
      <c r="C20" s="173" t="s">
        <v>673</v>
      </c>
      <c r="D20" s="363"/>
      <c r="E20" s="363"/>
      <c r="F20" s="363"/>
      <c r="G20" s="363"/>
      <c r="H20" s="363"/>
      <c r="I20" s="363"/>
      <c r="J20" s="363"/>
      <c r="K20" s="363"/>
      <c r="L20" s="363"/>
      <c r="M20" s="363"/>
      <c r="N20" s="363"/>
      <c r="O20" s="363"/>
      <c r="P20" s="363"/>
      <c r="Q20" s="363"/>
      <c r="R20" s="363"/>
      <c r="S20" s="363"/>
      <c r="T20" s="363"/>
      <c r="U20" s="363"/>
      <c r="V20" s="363"/>
      <c r="W20" s="363"/>
      <c r="X20" s="363"/>
      <c r="Y20" s="363"/>
      <c r="Z20" s="363"/>
      <c r="AA20" s="363"/>
      <c r="AB20" s="363"/>
      <c r="AC20" s="363"/>
      <c r="AD20" s="363"/>
      <c r="AE20" s="363"/>
      <c r="AF20" s="363"/>
      <c r="AG20" s="363"/>
      <c r="AH20" s="363"/>
      <c r="AI20" s="363"/>
      <c r="AJ20" s="363"/>
      <c r="AK20" s="363"/>
      <c r="AL20" s="363"/>
      <c r="AM20" s="363"/>
      <c r="AN20" s="363"/>
      <c r="AO20" s="363"/>
      <c r="AP20" s="363"/>
      <c r="AQ20" s="363"/>
      <c r="AR20" s="363"/>
      <c r="AS20" s="366" t="str">
        <f t="shared" si="0"/>
        <v>※関数で自動入力</v>
      </c>
      <c r="AT20" s="360"/>
      <c r="AU20" s="360"/>
      <c r="AV20" s="360"/>
      <c r="AW20" s="360"/>
      <c r="AX20" s="360"/>
      <c r="AY20" s="360"/>
      <c r="AZ20" s="360"/>
      <c r="BA20" s="168" t="str">
        <f>A20&amp;COUNTIF(A$5:A20,A20)</f>
        <v>Google16</v>
      </c>
    </row>
    <row r="21" spans="1:53" ht="19.5" customHeight="1">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M21" s="167"/>
      <c r="AO21" s="167"/>
      <c r="AQ21" s="167"/>
    </row>
  </sheetData>
  <dataConsolidate link="1"/>
  <phoneticPr fontId="20"/>
  <conditionalFormatting sqref="I7:J20 AL5 AP5 AR5 AN5 G5:G20 G5:AJ5">
    <cfRule type="expression" dxfId="148" priority="97">
      <formula>LENB(G5)&gt;30</formula>
    </cfRule>
  </conditionalFormatting>
  <conditionalFormatting sqref="G7:AJ20 AL7:AL20 AP7:AP20 AR7:AR20 AN7:AN20 G5:G20">
    <cfRule type="expression" dxfId="147" priority="96">
      <formula>LENB(G5)&gt;30</formula>
    </cfRule>
  </conditionalFormatting>
  <conditionalFormatting sqref="AL7:AL20">
    <cfRule type="expression" dxfId="146" priority="95">
      <formula>LENB(AL7)&gt;30</formula>
    </cfRule>
  </conditionalFormatting>
  <conditionalFormatting sqref="I6:J6">
    <cfRule type="expression" dxfId="145" priority="94">
      <formula>LENB(I6)&gt;30</formula>
    </cfRule>
  </conditionalFormatting>
  <conditionalFormatting sqref="G6:AJ6 AL6 AP6 AR6 AN6">
    <cfRule type="expression" dxfId="144" priority="93">
      <formula>LENB(G6)&gt;30</formula>
    </cfRule>
  </conditionalFormatting>
  <conditionalFormatting sqref="AL6">
    <cfRule type="expression" dxfId="143" priority="92">
      <formula>LENB(AL6)&gt;30</formula>
    </cfRule>
  </conditionalFormatting>
  <conditionalFormatting sqref="K5:L5 K7:L20">
    <cfRule type="expression" dxfId="142" priority="89">
      <formula>LENB(K5)&gt;30</formula>
    </cfRule>
  </conditionalFormatting>
  <conditionalFormatting sqref="K7:L20">
    <cfRule type="expression" dxfId="141" priority="88">
      <formula>LENB(K7)&gt;30</formula>
    </cfRule>
  </conditionalFormatting>
  <conditionalFormatting sqref="K6:L6">
    <cfRule type="expression" dxfId="140" priority="87">
      <formula>LENB(K6)&gt;30</formula>
    </cfRule>
  </conditionalFormatting>
  <conditionalFormatting sqref="K6:L6">
    <cfRule type="expression" dxfId="139" priority="86">
      <formula>LENB(K6)&gt;30</formula>
    </cfRule>
  </conditionalFormatting>
  <conditionalFormatting sqref="M5:N5 M7:N20">
    <cfRule type="expression" dxfId="138" priority="85">
      <formula>LENB(M5)&gt;30</formula>
    </cfRule>
  </conditionalFormatting>
  <conditionalFormatting sqref="M7:N20">
    <cfRule type="expression" dxfId="137" priority="84">
      <formula>LENB(M7)&gt;30</formula>
    </cfRule>
  </conditionalFormatting>
  <conditionalFormatting sqref="M6:N6">
    <cfRule type="expression" dxfId="136" priority="83">
      <formula>LENB(M6)&gt;30</formula>
    </cfRule>
  </conditionalFormatting>
  <conditionalFormatting sqref="M6:N6">
    <cfRule type="expression" dxfId="135" priority="82">
      <formula>LENB(M6)&gt;30</formula>
    </cfRule>
  </conditionalFormatting>
  <conditionalFormatting sqref="O5:P5 O7:P20">
    <cfRule type="expression" dxfId="134" priority="81">
      <formula>LENB(O5)&gt;30</formula>
    </cfRule>
  </conditionalFormatting>
  <conditionalFormatting sqref="O7:P20">
    <cfRule type="expression" dxfId="133" priority="80">
      <formula>LENB(O7)&gt;30</formula>
    </cfRule>
  </conditionalFormatting>
  <conditionalFormatting sqref="O6:P6">
    <cfRule type="expression" dxfId="132" priority="79">
      <formula>LENB(O6)&gt;30</formula>
    </cfRule>
  </conditionalFormatting>
  <conditionalFormatting sqref="O6:P6">
    <cfRule type="expression" dxfId="131" priority="78">
      <formula>LENB(O6)&gt;30</formula>
    </cfRule>
  </conditionalFormatting>
  <conditionalFormatting sqref="Q5:S5 Q7:S20">
    <cfRule type="expression" dxfId="130" priority="77">
      <formula>LENB(Q5)&gt;30</formula>
    </cfRule>
  </conditionalFormatting>
  <conditionalFormatting sqref="Q7:S20">
    <cfRule type="expression" dxfId="129" priority="76">
      <formula>LENB(Q7)&gt;30</formula>
    </cfRule>
  </conditionalFormatting>
  <conditionalFormatting sqref="Q6:S6">
    <cfRule type="expression" dxfId="128" priority="75">
      <formula>LENB(Q6)&gt;30</formula>
    </cfRule>
  </conditionalFormatting>
  <conditionalFormatting sqref="Q6:S6">
    <cfRule type="expression" dxfId="127" priority="74">
      <formula>LENB(Q6)&gt;30</formula>
    </cfRule>
  </conditionalFormatting>
  <conditionalFormatting sqref="T5:U5 T7:U20">
    <cfRule type="expression" dxfId="126" priority="73">
      <formula>LENB(T5)&gt;30</formula>
    </cfRule>
  </conditionalFormatting>
  <conditionalFormatting sqref="T7:U20">
    <cfRule type="expression" dxfId="125" priority="72">
      <formula>LENB(T7)&gt;30</formula>
    </cfRule>
  </conditionalFormatting>
  <conditionalFormatting sqref="T6:U6">
    <cfRule type="expression" dxfId="124" priority="71">
      <formula>LENB(T6)&gt;30</formula>
    </cfRule>
  </conditionalFormatting>
  <conditionalFormatting sqref="T6:U6">
    <cfRule type="expression" dxfId="123" priority="70">
      <formula>LENB(T6)&gt;30</formula>
    </cfRule>
  </conditionalFormatting>
  <conditionalFormatting sqref="V5:W5 V7:W20">
    <cfRule type="expression" dxfId="122" priority="69">
      <formula>LENB(V5)&gt;30</formula>
    </cfRule>
  </conditionalFormatting>
  <conditionalFormatting sqref="V7:W20">
    <cfRule type="expression" dxfId="121" priority="68">
      <formula>LENB(V7)&gt;30</formula>
    </cfRule>
  </conditionalFormatting>
  <conditionalFormatting sqref="V6:W6">
    <cfRule type="expression" dxfId="120" priority="67">
      <formula>LENB(V6)&gt;30</formula>
    </cfRule>
  </conditionalFormatting>
  <conditionalFormatting sqref="V6:W6">
    <cfRule type="expression" dxfId="119" priority="66">
      <formula>LENB(V6)&gt;30</formula>
    </cfRule>
  </conditionalFormatting>
  <conditionalFormatting sqref="X5:Y5 X7:Y20">
    <cfRule type="expression" dxfId="118" priority="65">
      <formula>LENB(X5)&gt;30</formula>
    </cfRule>
  </conditionalFormatting>
  <conditionalFormatting sqref="X7:Y20">
    <cfRule type="expression" dxfId="117" priority="64">
      <formula>LENB(X7)&gt;30</formula>
    </cfRule>
  </conditionalFormatting>
  <conditionalFormatting sqref="X6:Y6">
    <cfRule type="expression" dxfId="116" priority="63">
      <formula>LENB(X6)&gt;30</formula>
    </cfRule>
  </conditionalFormatting>
  <conditionalFormatting sqref="X6:Y6">
    <cfRule type="expression" dxfId="115" priority="62">
      <formula>LENB(X6)&gt;30</formula>
    </cfRule>
  </conditionalFormatting>
  <conditionalFormatting sqref="Z5:AB5 Z7:AB20">
    <cfRule type="expression" dxfId="114" priority="61">
      <formula>LENB(Z5)&gt;30</formula>
    </cfRule>
  </conditionalFormatting>
  <conditionalFormatting sqref="Z7:AB20">
    <cfRule type="expression" dxfId="113" priority="60">
      <formula>LENB(Z7)&gt;30</formula>
    </cfRule>
  </conditionalFormatting>
  <conditionalFormatting sqref="Z6:AB6">
    <cfRule type="expression" dxfId="112" priority="59">
      <formula>LENB(Z6)&gt;30</formula>
    </cfRule>
  </conditionalFormatting>
  <conditionalFormatting sqref="Z6:AB6">
    <cfRule type="expression" dxfId="111" priority="58">
      <formula>LENB(Z6)&gt;30</formula>
    </cfRule>
  </conditionalFormatting>
  <conditionalFormatting sqref="AC5:AD5 AC7:AD20">
    <cfRule type="expression" dxfId="110" priority="57">
      <formula>LENB(AC5)&gt;30</formula>
    </cfRule>
  </conditionalFormatting>
  <conditionalFormatting sqref="AC7:AD20">
    <cfRule type="expression" dxfId="109" priority="56">
      <formula>LENB(AC7)&gt;30</formula>
    </cfRule>
  </conditionalFormatting>
  <conditionalFormatting sqref="AC6:AD6">
    <cfRule type="expression" dxfId="108" priority="55">
      <formula>LENB(AC6)&gt;30</formula>
    </cfRule>
  </conditionalFormatting>
  <conditionalFormatting sqref="AC6:AD6">
    <cfRule type="expression" dxfId="107" priority="54">
      <formula>LENB(AC6)&gt;30</formula>
    </cfRule>
  </conditionalFormatting>
  <conditionalFormatting sqref="AE5:AF5 AE7:AF20">
    <cfRule type="expression" dxfId="106" priority="53">
      <formula>LENB(AE5)&gt;30</formula>
    </cfRule>
  </conditionalFormatting>
  <conditionalFormatting sqref="AE7:AF20">
    <cfRule type="expression" dxfId="105" priority="52">
      <formula>LENB(AE7)&gt;30</formula>
    </cfRule>
  </conditionalFormatting>
  <conditionalFormatting sqref="AE6:AF6">
    <cfRule type="expression" dxfId="104" priority="51">
      <formula>LENB(AE6)&gt;30</formula>
    </cfRule>
  </conditionalFormatting>
  <conditionalFormatting sqref="AE6:AF6">
    <cfRule type="expression" dxfId="103" priority="50">
      <formula>LENB(AE6)&gt;30</formula>
    </cfRule>
  </conditionalFormatting>
  <conditionalFormatting sqref="AG5:AH5 AG7:AH20">
    <cfRule type="expression" dxfId="102" priority="49">
      <formula>LENB(AG5)&gt;30</formula>
    </cfRule>
  </conditionalFormatting>
  <conditionalFormatting sqref="AG7:AH20">
    <cfRule type="expression" dxfId="101" priority="48">
      <formula>LENB(AG7)&gt;30</formula>
    </cfRule>
  </conditionalFormatting>
  <conditionalFormatting sqref="AG6:AH6">
    <cfRule type="expression" dxfId="100" priority="47">
      <formula>LENB(AG6)&gt;30</formula>
    </cfRule>
  </conditionalFormatting>
  <conditionalFormatting sqref="AG6:AH6">
    <cfRule type="expression" dxfId="99" priority="46">
      <formula>LENB(AG6)&gt;30</formula>
    </cfRule>
  </conditionalFormatting>
  <conditionalFormatting sqref="AI5:AJ5 AI7:AJ20">
    <cfRule type="expression" dxfId="98" priority="45">
      <formula>LENB(AI5)&gt;30</formula>
    </cfRule>
  </conditionalFormatting>
  <conditionalFormatting sqref="AI7:AJ20">
    <cfRule type="expression" dxfId="97" priority="44">
      <formula>LENB(AI7)&gt;30</formula>
    </cfRule>
  </conditionalFormatting>
  <conditionalFormatting sqref="AI6:AJ6">
    <cfRule type="expression" dxfId="96" priority="43">
      <formula>LENB(AI6)&gt;30</formula>
    </cfRule>
  </conditionalFormatting>
  <conditionalFormatting sqref="AI6:AJ6">
    <cfRule type="expression" dxfId="95" priority="42">
      <formula>LENB(AI6)&gt;30</formula>
    </cfRule>
  </conditionalFormatting>
  <conditionalFormatting sqref="AN5">
    <cfRule type="expression" dxfId="94" priority="41">
      <formula>LENB(AN5)&gt;45</formula>
    </cfRule>
  </conditionalFormatting>
  <conditionalFormatting sqref="AN7:AN20">
    <cfRule type="expression" dxfId="93" priority="39">
      <formula>LENB(AN7)&gt;30</formula>
    </cfRule>
  </conditionalFormatting>
  <conditionalFormatting sqref="AN6">
    <cfRule type="expression" dxfId="92" priority="37">
      <formula>LENB(AN6)&gt;30</formula>
    </cfRule>
  </conditionalFormatting>
  <conditionalFormatting sqref="AP5">
    <cfRule type="expression" dxfId="91" priority="35">
      <formula>LENB(AP5)&gt;30</formula>
    </cfRule>
  </conditionalFormatting>
  <conditionalFormatting sqref="AP7:AP20">
    <cfRule type="expression" dxfId="90" priority="33">
      <formula>LENB(AP7)&gt;30</formula>
    </cfRule>
  </conditionalFormatting>
  <conditionalFormatting sqref="AP6">
    <cfRule type="expression" dxfId="89" priority="31">
      <formula>LENB(AP6)&gt;30</formula>
    </cfRule>
  </conditionalFormatting>
  <conditionalFormatting sqref="AR5">
    <cfRule type="expression" dxfId="88" priority="29">
      <formula>LENB(AR5)&gt;30</formula>
    </cfRule>
  </conditionalFormatting>
  <conditionalFormatting sqref="AR7:AR20">
    <cfRule type="expression" dxfId="87" priority="27">
      <formula>LENB(AR7)&gt;30</formula>
    </cfRule>
  </conditionalFormatting>
  <conditionalFormatting sqref="AR6">
    <cfRule type="expression" dxfId="86" priority="25">
      <formula>LENB(AR6)&gt;30</formula>
    </cfRule>
  </conditionalFormatting>
  <conditionalFormatting sqref="H5:H20">
    <cfRule type="expression" dxfId="85" priority="23">
      <formula>LENB(H5)&gt;30</formula>
    </cfRule>
  </conditionalFormatting>
  <conditionalFormatting sqref="AK5:AK20">
    <cfRule type="expression" dxfId="84" priority="22">
      <formula>LENB(AK5)&gt;90</formula>
    </cfRule>
  </conditionalFormatting>
  <conditionalFormatting sqref="AK5:AK20">
    <cfRule type="expression" dxfId="83" priority="21">
      <formula>LENB(AK5)&gt;90</formula>
    </cfRule>
  </conditionalFormatting>
  <conditionalFormatting sqref="AM5:AM20">
    <cfRule type="expression" dxfId="82" priority="16">
      <formula>LENB(AM5)&gt;90</formula>
    </cfRule>
  </conditionalFormatting>
  <conditionalFormatting sqref="AM5:AM20">
    <cfRule type="expression" dxfId="81" priority="15">
      <formula>LENB(AM5)&gt;90</formula>
    </cfRule>
  </conditionalFormatting>
  <conditionalFormatting sqref="AO5:AO20">
    <cfRule type="expression" dxfId="80" priority="14">
      <formula>LENB(AO5)&gt;90</formula>
    </cfRule>
  </conditionalFormatting>
  <conditionalFormatting sqref="AO5:AO20">
    <cfRule type="expression" dxfId="79" priority="13">
      <formula>LENB(AO5)&gt;90</formula>
    </cfRule>
  </conditionalFormatting>
  <conditionalFormatting sqref="AQ5:AQ20">
    <cfRule type="expression" dxfId="78" priority="12">
      <formula>LENB(AQ5)&gt;90</formula>
    </cfRule>
  </conditionalFormatting>
  <conditionalFormatting sqref="AQ5:AQ20">
    <cfRule type="expression" dxfId="77" priority="11">
      <formula>LENB(AQ5)&gt;90</formula>
    </cfRule>
  </conditionalFormatting>
  <conditionalFormatting sqref="I5">
    <cfRule type="expression" dxfId="76" priority="10">
      <formula>LENB(I5)&gt;30</formula>
    </cfRule>
  </conditionalFormatting>
  <conditionalFormatting sqref="K5">
    <cfRule type="expression" dxfId="75" priority="9">
      <formula>LENB(K5)&gt;30</formula>
    </cfRule>
  </conditionalFormatting>
  <conditionalFormatting sqref="M5">
    <cfRule type="expression" dxfId="74" priority="8">
      <formula>LENB(M5)&gt;30</formula>
    </cfRule>
  </conditionalFormatting>
  <conditionalFormatting sqref="O5">
    <cfRule type="expression" dxfId="73" priority="7">
      <formula>LENB(O5)&gt;30</formula>
    </cfRule>
  </conditionalFormatting>
  <conditionalFormatting sqref="Q5">
    <cfRule type="expression" dxfId="72" priority="6">
      <formula>LENB(Q5)&gt;30</formula>
    </cfRule>
  </conditionalFormatting>
  <conditionalFormatting sqref="S5">
    <cfRule type="expression" dxfId="71" priority="5">
      <formula>LENB(S5)&gt;30</formula>
    </cfRule>
  </conditionalFormatting>
  <conditionalFormatting sqref="U5">
    <cfRule type="expression" dxfId="70" priority="4">
      <formula>LENB(U5)&gt;30</formula>
    </cfRule>
  </conditionalFormatting>
  <conditionalFormatting sqref="W5">
    <cfRule type="expression" dxfId="69" priority="3">
      <formula>LENB(W5)&gt;30</formula>
    </cfRule>
  </conditionalFormatting>
  <conditionalFormatting sqref="Y5">
    <cfRule type="expression" dxfId="68" priority="2">
      <formula>LENB(Y5)&gt;30</formula>
    </cfRule>
  </conditionalFormatting>
  <conditionalFormatting sqref="Z5">
    <cfRule type="expression" dxfId="67" priority="1">
      <formula>LENB(Z5)&gt;30</formula>
    </cfRule>
  </conditionalFormatting>
  <dataValidations count="1">
    <dataValidation type="list" allowBlank="1" showInputMessage="1" sqref="C5:C20" xr:uid="{00000000-0002-0000-0D00-000000000000}">
      <formula1>ステータス</formula1>
    </dataValidation>
  </dataValidations>
  <pageMargins left="0.7" right="0.7" top="0.75" bottom="0.75" header="0.3" footer="0.3"/>
  <pageSetup paperSize="9" scale="13" orientation="landscape" r:id="rId1"/>
  <extLst>
    <ext xmlns:x14="http://schemas.microsoft.com/office/spreadsheetml/2009/9/main" uri="{CCE6A557-97BC-4b89-ADB6-D9C93CAAB3DF}">
      <x14:dataValidations xmlns:xm="http://schemas.microsoft.com/office/excel/2006/main" count="1">
        <x14:dataValidation type="list" allowBlank="1" showInputMessage="1" xr:uid="{00000000-0002-0000-0D00-000001000000}">
          <x14:formula1>
            <xm:f>入力規則!$H$4:$H$5</xm:f>
          </x14:formula1>
          <xm:sqref>A5:A20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tint="0.79998168889431442"/>
    <pageSetUpPr fitToPage="1"/>
  </sheetPr>
  <dimension ref="A1:BI30"/>
  <sheetViews>
    <sheetView showGridLines="0" view="pageBreakPreview" zoomScale="85" zoomScaleNormal="70" zoomScaleSheetLayoutView="85" workbookViewId="0"/>
  </sheetViews>
  <sheetFormatPr defaultColWidth="8.88671875" defaultRowHeight="19.5" customHeight="1"/>
  <cols>
    <col min="1" max="6" width="15.77734375" style="1" customWidth="1"/>
    <col min="7" max="7" width="32.77734375" style="1" bestFit="1" customWidth="1"/>
    <col min="8" max="12" width="15.77734375" style="1" customWidth="1"/>
    <col min="13" max="13" width="32.44140625" style="1" customWidth="1"/>
    <col min="14" max="14" width="16.33203125" style="1" customWidth="1"/>
    <col min="15" max="15" width="20.88671875" style="1" bestFit="1" customWidth="1"/>
    <col min="16" max="32" width="15.77734375" style="1" customWidth="1"/>
    <col min="33" max="34" width="19.88671875" style="1" customWidth="1"/>
    <col min="35" max="35" width="20.88671875" style="1" customWidth="1"/>
    <col min="36" max="37" width="15.77734375" style="1" customWidth="1"/>
    <col min="38" max="38" width="20.109375" style="1" customWidth="1"/>
    <col min="39" max="39" width="16.6640625" style="1" customWidth="1"/>
    <col min="40" max="49" width="15.77734375" style="1" customWidth="1"/>
    <col min="50" max="50" width="16.21875" style="1" customWidth="1"/>
    <col min="51" max="53" width="16.77734375" style="1" customWidth="1"/>
    <col min="54" max="61" width="14.5546875" style="1" customWidth="1"/>
    <col min="62" max="16384" width="8.88671875" style="1"/>
  </cols>
  <sheetData>
    <row r="1" spans="1:61" ht="19.5" customHeight="1">
      <c r="A1" s="114" t="str">
        <f>"Ver."&amp;変更履歴!$B$1</f>
        <v>Ver.10.1</v>
      </c>
    </row>
    <row r="2" spans="1:61" ht="19.5" customHeight="1">
      <c r="A2" s="5" t="s">
        <v>58</v>
      </c>
      <c r="B2" s="5"/>
      <c r="C2" s="5"/>
    </row>
    <row r="3" spans="1:61" ht="19.5" customHeight="1">
      <c r="BB3" s="267" t="s">
        <v>1300</v>
      </c>
      <c r="BC3" s="267" t="s">
        <v>1300</v>
      </c>
      <c r="BD3" s="267" t="s">
        <v>1300</v>
      </c>
      <c r="BE3" s="267" t="s">
        <v>1300</v>
      </c>
      <c r="BF3" s="267" t="s">
        <v>1300</v>
      </c>
      <c r="BG3" s="267" t="s">
        <v>1300</v>
      </c>
      <c r="BH3" s="267" t="s">
        <v>1300</v>
      </c>
      <c r="BI3" s="267" t="s">
        <v>1300</v>
      </c>
    </row>
    <row r="4" spans="1:61" ht="19.5" customHeight="1">
      <c r="A4" s="498" t="s">
        <v>57</v>
      </c>
      <c r="B4" s="499"/>
      <c r="C4" s="499"/>
      <c r="D4" s="499"/>
      <c r="E4" s="499"/>
      <c r="F4" s="500"/>
      <c r="G4" s="507" t="s">
        <v>350</v>
      </c>
      <c r="H4" s="507"/>
      <c r="I4" s="507"/>
      <c r="J4" s="507"/>
      <c r="K4" s="507"/>
      <c r="L4" s="507"/>
      <c r="M4" s="86" t="s">
        <v>24</v>
      </c>
      <c r="N4" s="507" t="s">
        <v>582</v>
      </c>
      <c r="O4" s="507"/>
      <c r="P4" s="496" t="s">
        <v>351</v>
      </c>
      <c r="Q4" s="508"/>
      <c r="R4" s="496" t="s">
        <v>352</v>
      </c>
      <c r="S4" s="508"/>
      <c r="T4" s="508"/>
      <c r="U4" s="497"/>
      <c r="V4" s="504" t="s">
        <v>353</v>
      </c>
      <c r="W4" s="505"/>
      <c r="X4" s="505"/>
      <c r="Y4" s="505"/>
      <c r="Z4" s="505"/>
      <c r="AA4" s="505"/>
      <c r="AB4" s="505"/>
      <c r="AC4" s="505"/>
      <c r="AD4" s="505"/>
      <c r="AE4" s="506"/>
      <c r="AF4" s="501" t="s">
        <v>494</v>
      </c>
      <c r="AG4" s="502" t="s">
        <v>493</v>
      </c>
      <c r="AH4" s="502" t="s">
        <v>493</v>
      </c>
      <c r="AI4" s="502" t="s">
        <v>493</v>
      </c>
      <c r="AJ4" s="501" t="s">
        <v>574</v>
      </c>
      <c r="AK4" s="502" t="s">
        <v>504</v>
      </c>
      <c r="AL4" s="502" t="s">
        <v>504</v>
      </c>
      <c r="AM4" s="503" t="s">
        <v>504</v>
      </c>
      <c r="AN4" s="501" t="s">
        <v>502</v>
      </c>
      <c r="AO4" s="502" t="s">
        <v>501</v>
      </c>
      <c r="AP4" s="502" t="s">
        <v>501</v>
      </c>
      <c r="AQ4" s="502" t="s">
        <v>501</v>
      </c>
      <c r="AR4" s="502" t="s">
        <v>501</v>
      </c>
      <c r="AS4" s="502" t="s">
        <v>501</v>
      </c>
      <c r="AT4" s="502" t="s">
        <v>501</v>
      </c>
      <c r="AU4" s="502" t="s">
        <v>501</v>
      </c>
      <c r="AV4" s="502" t="s">
        <v>501</v>
      </c>
      <c r="AW4" s="502"/>
      <c r="AX4" s="502" t="s">
        <v>501</v>
      </c>
      <c r="AY4" s="503" t="s">
        <v>501</v>
      </c>
      <c r="AZ4" s="496" t="s">
        <v>639</v>
      </c>
      <c r="BA4" s="497"/>
      <c r="BB4" s="270" t="s">
        <v>1304</v>
      </c>
      <c r="BC4" s="270" t="s">
        <v>1305</v>
      </c>
      <c r="BD4" s="270" t="s">
        <v>1306</v>
      </c>
      <c r="BE4" s="270" t="s">
        <v>1307</v>
      </c>
      <c r="BF4" s="270" t="s">
        <v>1308</v>
      </c>
      <c r="BG4" s="271" t="s">
        <v>1309</v>
      </c>
      <c r="BH4" s="271"/>
      <c r="BI4" s="271"/>
    </row>
    <row r="5" spans="1:61" ht="60">
      <c r="A5" s="87" t="s">
        <v>18</v>
      </c>
      <c r="B5" s="87" t="s">
        <v>8</v>
      </c>
      <c r="C5" s="87" t="s">
        <v>6</v>
      </c>
      <c r="D5" s="87" t="s">
        <v>7</v>
      </c>
      <c r="E5" s="87" t="s">
        <v>2</v>
      </c>
      <c r="F5" s="87" t="s">
        <v>3</v>
      </c>
      <c r="G5" s="87" t="s">
        <v>182</v>
      </c>
      <c r="H5" s="88" t="s">
        <v>34</v>
      </c>
      <c r="I5" s="88" t="s">
        <v>35</v>
      </c>
      <c r="J5" s="87" t="s">
        <v>1323</v>
      </c>
      <c r="K5" s="87" t="s">
        <v>1324</v>
      </c>
      <c r="L5" s="87" t="s">
        <v>1325</v>
      </c>
      <c r="M5" s="87" t="s">
        <v>183</v>
      </c>
      <c r="N5" s="87" t="s">
        <v>56</v>
      </c>
      <c r="O5" s="87" t="s">
        <v>46</v>
      </c>
      <c r="P5" s="87" t="s">
        <v>1326</v>
      </c>
      <c r="Q5" s="87" t="s">
        <v>1327</v>
      </c>
      <c r="R5" s="87" t="s">
        <v>54</v>
      </c>
      <c r="S5" s="87" t="s">
        <v>55</v>
      </c>
      <c r="T5" s="87" t="s">
        <v>1328</v>
      </c>
      <c r="U5" s="87" t="s">
        <v>1329</v>
      </c>
      <c r="V5" s="89" t="s">
        <v>1330</v>
      </c>
      <c r="W5" s="89" t="s">
        <v>354</v>
      </c>
      <c r="X5" s="89" t="s">
        <v>1331</v>
      </c>
      <c r="Y5" s="89" t="s">
        <v>264</v>
      </c>
      <c r="Z5" s="89" t="s">
        <v>664</v>
      </c>
      <c r="AA5" s="89" t="s">
        <v>666</v>
      </c>
      <c r="AB5" s="89" t="s">
        <v>265</v>
      </c>
      <c r="AC5" s="89" t="s">
        <v>355</v>
      </c>
      <c r="AD5" s="89" t="s">
        <v>1332</v>
      </c>
      <c r="AE5" s="89" t="s">
        <v>1333</v>
      </c>
      <c r="AF5" s="101" t="s">
        <v>1334</v>
      </c>
      <c r="AG5" s="101" t="s">
        <v>490</v>
      </c>
      <c r="AH5" s="101" t="s">
        <v>491</v>
      </c>
      <c r="AI5" s="101" t="s">
        <v>492</v>
      </c>
      <c r="AJ5" s="102" t="s">
        <v>473</v>
      </c>
      <c r="AK5" s="102" t="s">
        <v>461</v>
      </c>
      <c r="AL5" s="102" t="s">
        <v>495</v>
      </c>
      <c r="AM5" s="102" t="s">
        <v>573</v>
      </c>
      <c r="AN5" s="102" t="s">
        <v>496</v>
      </c>
      <c r="AO5" s="102" t="s">
        <v>1335</v>
      </c>
      <c r="AP5" s="102" t="s">
        <v>1336</v>
      </c>
      <c r="AQ5" s="102" t="s">
        <v>466</v>
      </c>
      <c r="AR5" s="102" t="s">
        <v>467</v>
      </c>
      <c r="AS5" s="102" t="s">
        <v>637</v>
      </c>
      <c r="AT5" s="102" t="s">
        <v>497</v>
      </c>
      <c r="AU5" s="102" t="s">
        <v>498</v>
      </c>
      <c r="AV5" s="102" t="s">
        <v>1337</v>
      </c>
      <c r="AW5" s="102" t="s">
        <v>503</v>
      </c>
      <c r="AX5" s="102" t="s">
        <v>499</v>
      </c>
      <c r="AY5" s="102" t="s">
        <v>500</v>
      </c>
      <c r="AZ5" s="454" t="s">
        <v>2096</v>
      </c>
      <c r="BA5" s="454" t="s">
        <v>2097</v>
      </c>
      <c r="BB5" s="272" t="s">
        <v>1310</v>
      </c>
      <c r="BC5" s="272" t="s">
        <v>1311</v>
      </c>
      <c r="BD5" s="272" t="s">
        <v>1312</v>
      </c>
      <c r="BE5" s="272" t="s">
        <v>1313</v>
      </c>
      <c r="BF5" s="272" t="s">
        <v>1314</v>
      </c>
      <c r="BG5" s="272" t="s">
        <v>1315</v>
      </c>
      <c r="BH5" s="272" t="s">
        <v>1316</v>
      </c>
      <c r="BI5" s="273" t="s">
        <v>484</v>
      </c>
    </row>
    <row r="6" spans="1:61" ht="19.5" customHeight="1">
      <c r="A6" s="3" t="s">
        <v>19</v>
      </c>
      <c r="B6" s="90" t="s">
        <v>28</v>
      </c>
      <c r="C6" s="90" t="s">
        <v>356</v>
      </c>
      <c r="D6" s="90"/>
      <c r="E6" s="284"/>
      <c r="F6" s="284"/>
      <c r="G6" s="90" t="s">
        <v>357</v>
      </c>
      <c r="H6" s="90"/>
      <c r="I6" s="90"/>
      <c r="J6" s="90" t="s">
        <v>358</v>
      </c>
      <c r="K6" s="90"/>
      <c r="L6" s="90"/>
      <c r="M6" s="90"/>
      <c r="N6" s="3"/>
      <c r="O6" s="90"/>
      <c r="P6" s="90"/>
      <c r="Q6" s="90"/>
      <c r="R6" s="90"/>
      <c r="S6" s="90"/>
      <c r="T6" s="90"/>
      <c r="U6" s="90"/>
      <c r="V6" s="3"/>
      <c r="W6" s="3"/>
      <c r="X6" s="3"/>
      <c r="Y6" s="3"/>
      <c r="Z6" s="90"/>
      <c r="AA6" s="90"/>
      <c r="AB6" s="90"/>
      <c r="AC6" s="3"/>
      <c r="AD6" s="90"/>
      <c r="AE6" s="90"/>
      <c r="AF6" s="90"/>
      <c r="AG6" s="90"/>
      <c r="AH6" s="90"/>
      <c r="AI6" s="90"/>
      <c r="AJ6" s="3"/>
      <c r="AK6" s="3"/>
      <c r="AL6" s="3"/>
      <c r="AM6" s="3"/>
      <c r="AN6" s="3"/>
      <c r="AO6" s="3"/>
      <c r="AP6" s="3"/>
      <c r="AQ6" s="3"/>
      <c r="AR6" s="276"/>
      <c r="AS6" s="90"/>
      <c r="AT6" s="90"/>
      <c r="AU6" s="96"/>
      <c r="AV6" s="90"/>
      <c r="AW6" s="90"/>
      <c r="AX6" s="90"/>
      <c r="AY6" s="90"/>
      <c r="AZ6" s="90"/>
      <c r="BA6" s="90"/>
      <c r="BB6" s="85" t="str">
        <f>IF(A6="Google",IF(B6="アカウント","Account -Level",C6),"")</f>
        <v>キャンペーンA</v>
      </c>
      <c r="BC6" s="85" t="str">
        <f>IF($A6="Yahoo!",IF(G6&lt;&gt;"",IF($B6="キャンペーン","キャンペーン広告オプション(クイックリンク)",IF($B6="広告グループ","広告グループ広告オプション(クイックリンク)","")),""),"")</f>
        <v/>
      </c>
      <c r="BD6" s="85" t="str">
        <f>IF($A6="Yahoo!",IF(M6&lt;&gt;"",IF($B6="キャンペーン","キャンペーン広告オプション(テキスト補足)",IF($B6="広告グループ","広告グループ広告オプション(テキスト補足)","")),""),"")</f>
        <v/>
      </c>
      <c r="BE6" s="85" t="str">
        <f>IF($A6="Yahoo!",IF(N6&lt;&gt;"",IF($B6="キャンペーン","キャンペーン広告オプション(カテゴリ補足)",IF($B6="広告グループ","広告グループ広告オプション(カテゴリ補足)","")),""),"")</f>
        <v/>
      </c>
      <c r="BF6" s="85" t="str">
        <f>IF($A6="Yahoo!",IF(P6&lt;&gt;"",IF($B6="キャンペーン","キャンペーン広告オプション(電話番号)",IF($B6="広告グループ","広告グループ広告オプション(電話番号)","")),""),"")</f>
        <v/>
      </c>
      <c r="BG6" s="85" t="str">
        <f>IF(OR($AQ6="最大割引額",$AQ6="最大割引率"),"Up To","")</f>
        <v/>
      </c>
      <c r="BH6" s="85" t="str">
        <f>IF(OR($AQ6="割引額",$AQ6="最大割引額"),$AR6,"")</f>
        <v/>
      </c>
      <c r="BI6" s="85" t="str">
        <f>IF(OR($AQ6="割引率",$AQ6="最大割引率"),$AR6,"")</f>
        <v/>
      </c>
    </row>
    <row r="7" spans="1:61" ht="19.5" customHeight="1">
      <c r="A7" s="3" t="s">
        <v>19</v>
      </c>
      <c r="B7" s="90" t="s">
        <v>28</v>
      </c>
      <c r="C7" s="85" t="s">
        <v>356</v>
      </c>
      <c r="D7" s="85"/>
      <c r="E7" s="285"/>
      <c r="F7" s="285"/>
      <c r="G7" s="85" t="s">
        <v>359</v>
      </c>
      <c r="H7" s="85"/>
      <c r="I7" s="85"/>
      <c r="J7" s="85" t="s">
        <v>358</v>
      </c>
      <c r="K7" s="85"/>
      <c r="L7" s="85"/>
      <c r="M7" s="85"/>
      <c r="N7" s="3"/>
      <c r="O7" s="85"/>
      <c r="P7" s="85"/>
      <c r="Q7" s="85"/>
      <c r="R7" s="85"/>
      <c r="S7" s="85"/>
      <c r="T7" s="85"/>
      <c r="U7" s="85"/>
      <c r="V7" s="3"/>
      <c r="W7" s="3"/>
      <c r="X7" s="3"/>
      <c r="Y7" s="3"/>
      <c r="Z7" s="85"/>
      <c r="AA7" s="85"/>
      <c r="AB7" s="85"/>
      <c r="AC7" s="3"/>
      <c r="AD7" s="85"/>
      <c r="AE7" s="85"/>
      <c r="AF7" s="85"/>
      <c r="AG7" s="85"/>
      <c r="AH7" s="85"/>
      <c r="AI7" s="85"/>
      <c r="AJ7" s="3"/>
      <c r="AK7" s="85"/>
      <c r="AL7" s="85"/>
      <c r="AM7" s="3"/>
      <c r="AN7" s="3"/>
      <c r="AO7" s="3"/>
      <c r="AP7" s="3"/>
      <c r="AQ7" s="3"/>
      <c r="AR7" s="85"/>
      <c r="AS7" s="85"/>
      <c r="AT7" s="85"/>
      <c r="AU7" s="96"/>
      <c r="AV7" s="85"/>
      <c r="AW7" s="85"/>
      <c r="AX7" s="85"/>
      <c r="AY7" s="85"/>
      <c r="AZ7" s="85"/>
      <c r="BA7" s="85"/>
      <c r="BB7" s="85" t="str">
        <f t="shared" ref="BB7:BB22" si="0">IF(A7="Google",IF(B7="アカウント","Account -Level",C7),"")</f>
        <v>キャンペーンA</v>
      </c>
      <c r="BC7" s="85" t="str">
        <f t="shared" ref="BC7:BC22" si="1">IF($A7="Yahoo!",IF(G7&lt;&gt;"",IF($B7="キャンペーン","キャンペーン広告オプション(クイックリンク)",IF($B7="広告グループ","広告グループ広告オプション(クイックリンク)","")),""),"")</f>
        <v/>
      </c>
      <c r="BD7" s="85" t="str">
        <f t="shared" ref="BD7:BD22" si="2">IF($A7="Yahoo!",IF(M7&lt;&gt;"",IF($B7="キャンペーン","キャンペーン広告オプション(テキスト補足)",IF($B7="広告グループ","広告グループ広告オプション(テキスト補足)","")),""),"")</f>
        <v/>
      </c>
      <c r="BE7" s="85" t="str">
        <f t="shared" ref="BE7:BE22" si="3">IF($A7="Yahoo!",IF(N7&lt;&gt;"",IF($B7="キャンペーン","キャンペーン広告オプション(カテゴリ補足)",IF($B7="広告グループ","広告グループ広告オプション(カテゴリ補足)","")),""),"")</f>
        <v/>
      </c>
      <c r="BF7" s="85" t="str">
        <f t="shared" ref="BF7:BF22" si="4">IF($A7="Yahoo!",IF(P7&lt;&gt;"",IF($B7="キャンペーン","キャンペーン広告オプション(電話番号)",IF($B7="広告グループ","広告グループ広告オプション(電話番号)","")),""),"")</f>
        <v/>
      </c>
      <c r="BG7" s="85" t="str">
        <f t="shared" ref="BG7:BG30" si="5">IF(OR($AQ7="最大割引額",$AQ7="最大割引率"),"Up To","")</f>
        <v/>
      </c>
      <c r="BH7" s="85" t="str">
        <f t="shared" ref="BH7:BH30" si="6">IF(OR($AQ7="割引額",$AQ7="最大割引額"),$AR7,"")</f>
        <v/>
      </c>
      <c r="BI7" s="85" t="str">
        <f t="shared" ref="BI7:BI29" si="7">IF(OR($AQ7="割引率",$AQ7="最大割引率"),$AR7,"")</f>
        <v/>
      </c>
    </row>
    <row r="8" spans="1:61" ht="19.5" customHeight="1">
      <c r="A8" s="3" t="s">
        <v>19</v>
      </c>
      <c r="B8" s="90" t="s">
        <v>28</v>
      </c>
      <c r="C8" s="85" t="s">
        <v>356</v>
      </c>
      <c r="D8" s="85"/>
      <c r="E8" s="285"/>
      <c r="F8" s="285"/>
      <c r="G8" s="85" t="s">
        <v>360</v>
      </c>
      <c r="H8" s="85"/>
      <c r="I8" s="85"/>
      <c r="J8" s="85" t="s">
        <v>358</v>
      </c>
      <c r="K8" s="85"/>
      <c r="L8" s="85"/>
      <c r="M8" s="85"/>
      <c r="N8" s="3"/>
      <c r="O8" s="85"/>
      <c r="P8" s="85"/>
      <c r="Q8" s="85"/>
      <c r="R8" s="85"/>
      <c r="S8" s="85"/>
      <c r="T8" s="85"/>
      <c r="U8" s="85"/>
      <c r="V8" s="3"/>
      <c r="W8" s="3"/>
      <c r="X8" s="3"/>
      <c r="Y8" s="3"/>
      <c r="Z8" s="85"/>
      <c r="AA8" s="85"/>
      <c r="AB8" s="85"/>
      <c r="AC8" s="3"/>
      <c r="AD8" s="85"/>
      <c r="AE8" s="85"/>
      <c r="AF8" s="85"/>
      <c r="AG8" s="85"/>
      <c r="AH8" s="85"/>
      <c r="AI8" s="85"/>
      <c r="AJ8" s="3"/>
      <c r="AK8" s="85"/>
      <c r="AL8" s="85"/>
      <c r="AM8" s="3"/>
      <c r="AN8" s="3"/>
      <c r="AO8" s="3"/>
      <c r="AP8" s="3"/>
      <c r="AQ8" s="3"/>
      <c r="AR8" s="85"/>
      <c r="AS8" s="85"/>
      <c r="AT8" s="85"/>
      <c r="AU8" s="96"/>
      <c r="AV8" s="85"/>
      <c r="AW8" s="85"/>
      <c r="AX8" s="85"/>
      <c r="AY8" s="85"/>
      <c r="AZ8" s="85"/>
      <c r="BA8" s="85"/>
      <c r="BB8" s="85" t="str">
        <f t="shared" si="0"/>
        <v>キャンペーンA</v>
      </c>
      <c r="BC8" s="85" t="str">
        <f t="shared" si="1"/>
        <v/>
      </c>
      <c r="BD8" s="85" t="str">
        <f t="shared" si="2"/>
        <v/>
      </c>
      <c r="BE8" s="85" t="str">
        <f t="shared" si="3"/>
        <v/>
      </c>
      <c r="BF8" s="85" t="str">
        <f t="shared" si="4"/>
        <v/>
      </c>
      <c r="BG8" s="85" t="str">
        <f t="shared" si="5"/>
        <v/>
      </c>
      <c r="BH8" s="85" t="str">
        <f t="shared" si="6"/>
        <v/>
      </c>
      <c r="BI8" s="85" t="str">
        <f t="shared" si="7"/>
        <v/>
      </c>
    </row>
    <row r="9" spans="1:61" ht="19.5" customHeight="1">
      <c r="A9" s="3" t="s">
        <v>19</v>
      </c>
      <c r="B9" s="90" t="s">
        <v>28</v>
      </c>
      <c r="C9" s="85" t="s">
        <v>356</v>
      </c>
      <c r="D9" s="85"/>
      <c r="E9" s="285"/>
      <c r="F9" s="285"/>
      <c r="G9" s="85" t="s">
        <v>361</v>
      </c>
      <c r="H9" s="85"/>
      <c r="I9" s="85"/>
      <c r="J9" s="85" t="s">
        <v>358</v>
      </c>
      <c r="K9" s="85"/>
      <c r="L9" s="85"/>
      <c r="M9" s="85"/>
      <c r="N9" s="3"/>
      <c r="O9" s="85"/>
      <c r="P9" s="85"/>
      <c r="Q9" s="85"/>
      <c r="R9" s="85"/>
      <c r="S9" s="85"/>
      <c r="T9" s="85"/>
      <c r="U9" s="85"/>
      <c r="V9" s="3"/>
      <c r="W9" s="3"/>
      <c r="X9" s="3"/>
      <c r="Y9" s="3"/>
      <c r="Z9" s="85"/>
      <c r="AA9" s="85"/>
      <c r="AB9" s="85"/>
      <c r="AC9" s="3"/>
      <c r="AD9" s="85"/>
      <c r="AE9" s="85"/>
      <c r="AF9" s="85"/>
      <c r="AG9" s="85"/>
      <c r="AH9" s="85"/>
      <c r="AI9" s="85"/>
      <c r="AJ9" s="3"/>
      <c r="AK9" s="85"/>
      <c r="AL9" s="85"/>
      <c r="AM9" s="3"/>
      <c r="AN9" s="3"/>
      <c r="AO9" s="3"/>
      <c r="AP9" s="3"/>
      <c r="AQ9" s="3"/>
      <c r="AR9" s="85"/>
      <c r="AS9" s="85"/>
      <c r="AT9" s="85"/>
      <c r="AU9" s="96"/>
      <c r="AV9" s="85"/>
      <c r="AW9" s="85"/>
      <c r="AX9" s="85"/>
      <c r="AY9" s="85"/>
      <c r="AZ9" s="85"/>
      <c r="BA9" s="85"/>
      <c r="BB9" s="85" t="str">
        <f t="shared" si="0"/>
        <v>キャンペーンA</v>
      </c>
      <c r="BC9" s="85" t="str">
        <f t="shared" si="1"/>
        <v/>
      </c>
      <c r="BD9" s="85" t="str">
        <f t="shared" si="2"/>
        <v/>
      </c>
      <c r="BE9" s="85" t="str">
        <f t="shared" si="3"/>
        <v/>
      </c>
      <c r="BF9" s="85" t="str">
        <f t="shared" si="4"/>
        <v/>
      </c>
      <c r="BG9" s="85" t="str">
        <f t="shared" si="5"/>
        <v/>
      </c>
      <c r="BH9" s="85" t="str">
        <f t="shared" si="6"/>
        <v/>
      </c>
      <c r="BI9" s="85" t="str">
        <f t="shared" si="7"/>
        <v/>
      </c>
    </row>
    <row r="10" spans="1:61" ht="19.5" customHeight="1">
      <c r="A10" s="3" t="s">
        <v>19</v>
      </c>
      <c r="B10" s="90" t="s">
        <v>28</v>
      </c>
      <c r="C10" s="85" t="s">
        <v>356</v>
      </c>
      <c r="D10" s="85"/>
      <c r="E10" s="285"/>
      <c r="F10" s="285"/>
      <c r="G10" s="85"/>
      <c r="H10" s="85"/>
      <c r="I10" s="85"/>
      <c r="J10" s="85"/>
      <c r="K10" s="85"/>
      <c r="L10" s="85"/>
      <c r="M10" s="85" t="s">
        <v>362</v>
      </c>
      <c r="N10" s="3"/>
      <c r="O10" s="85"/>
      <c r="P10" s="85"/>
      <c r="Q10" s="85"/>
      <c r="R10" s="85"/>
      <c r="S10" s="85"/>
      <c r="T10" s="85"/>
      <c r="U10" s="85"/>
      <c r="V10" s="3"/>
      <c r="W10" s="3"/>
      <c r="X10" s="3"/>
      <c r="Y10" s="3"/>
      <c r="Z10" s="85"/>
      <c r="AA10" s="85"/>
      <c r="AB10" s="85"/>
      <c r="AC10" s="3"/>
      <c r="AD10" s="85"/>
      <c r="AE10" s="85"/>
      <c r="AF10" s="85"/>
      <c r="AG10" s="85"/>
      <c r="AH10" s="85"/>
      <c r="AI10" s="85"/>
      <c r="AJ10" s="3"/>
      <c r="AK10" s="85"/>
      <c r="AL10" s="85"/>
      <c r="AM10" s="3"/>
      <c r="AN10" s="3"/>
      <c r="AO10" s="3"/>
      <c r="AP10" s="3"/>
      <c r="AQ10" s="3"/>
      <c r="AR10" s="85"/>
      <c r="AS10" s="85"/>
      <c r="AT10" s="85"/>
      <c r="AU10" s="96"/>
      <c r="AV10" s="85"/>
      <c r="AW10" s="85"/>
      <c r="AX10" s="85"/>
      <c r="AY10" s="85"/>
      <c r="AZ10" s="85"/>
      <c r="BA10" s="85"/>
      <c r="BB10" s="85" t="str">
        <f t="shared" si="0"/>
        <v>キャンペーンA</v>
      </c>
      <c r="BC10" s="85" t="str">
        <f t="shared" si="1"/>
        <v/>
      </c>
      <c r="BD10" s="85" t="str">
        <f t="shared" si="2"/>
        <v/>
      </c>
      <c r="BE10" s="85" t="str">
        <f t="shared" si="3"/>
        <v/>
      </c>
      <c r="BF10" s="85" t="str">
        <f t="shared" si="4"/>
        <v/>
      </c>
      <c r="BG10" s="85" t="str">
        <f t="shared" si="5"/>
        <v/>
      </c>
      <c r="BH10" s="85" t="str">
        <f t="shared" si="6"/>
        <v/>
      </c>
      <c r="BI10" s="85" t="str">
        <f t="shared" si="7"/>
        <v/>
      </c>
    </row>
    <row r="11" spans="1:61" ht="19.5" customHeight="1">
      <c r="A11" s="3" t="s">
        <v>19</v>
      </c>
      <c r="B11" s="90" t="s">
        <v>28</v>
      </c>
      <c r="C11" s="85" t="s">
        <v>356</v>
      </c>
      <c r="D11" s="85"/>
      <c r="E11" s="285"/>
      <c r="F11" s="285"/>
      <c r="G11" s="85"/>
      <c r="H11" s="85"/>
      <c r="I11" s="85"/>
      <c r="J11" s="85"/>
      <c r="K11" s="85"/>
      <c r="L11" s="85"/>
      <c r="M11" s="85" t="s">
        <v>363</v>
      </c>
      <c r="N11" s="3"/>
      <c r="O11" s="85"/>
      <c r="P11" s="85"/>
      <c r="Q11" s="85"/>
      <c r="R11" s="85"/>
      <c r="S11" s="85"/>
      <c r="T11" s="85"/>
      <c r="U11" s="85"/>
      <c r="V11" s="3"/>
      <c r="W11" s="3"/>
      <c r="X11" s="3"/>
      <c r="Y11" s="3"/>
      <c r="Z11" s="85"/>
      <c r="AA11" s="85"/>
      <c r="AB11" s="85"/>
      <c r="AC11" s="3"/>
      <c r="AD11" s="85"/>
      <c r="AE11" s="85"/>
      <c r="AF11" s="85"/>
      <c r="AG11" s="85"/>
      <c r="AH11" s="85"/>
      <c r="AI11" s="85"/>
      <c r="AJ11" s="3"/>
      <c r="AK11" s="85"/>
      <c r="AL11" s="85"/>
      <c r="AM11" s="3"/>
      <c r="AN11" s="3"/>
      <c r="AO11" s="3"/>
      <c r="AP11" s="3"/>
      <c r="AQ11" s="3"/>
      <c r="AR11" s="85"/>
      <c r="AS11" s="85"/>
      <c r="AT11" s="85"/>
      <c r="AU11" s="96"/>
      <c r="AV11" s="85"/>
      <c r="AW11" s="85"/>
      <c r="AX11" s="85"/>
      <c r="AY11" s="85"/>
      <c r="AZ11" s="85"/>
      <c r="BA11" s="85"/>
      <c r="BB11" s="85" t="str">
        <f t="shared" si="0"/>
        <v>キャンペーンA</v>
      </c>
      <c r="BC11" s="85" t="str">
        <f t="shared" si="1"/>
        <v/>
      </c>
      <c r="BD11" s="85" t="str">
        <f t="shared" si="2"/>
        <v/>
      </c>
      <c r="BE11" s="85" t="str">
        <f t="shared" si="3"/>
        <v/>
      </c>
      <c r="BF11" s="85" t="str">
        <f t="shared" si="4"/>
        <v/>
      </c>
      <c r="BG11" s="85" t="str">
        <f t="shared" si="5"/>
        <v/>
      </c>
      <c r="BH11" s="85" t="str">
        <f t="shared" si="6"/>
        <v/>
      </c>
      <c r="BI11" s="85" t="str">
        <f t="shared" si="7"/>
        <v/>
      </c>
    </row>
    <row r="12" spans="1:61" ht="19.5" customHeight="1">
      <c r="A12" s="3" t="s">
        <v>19</v>
      </c>
      <c r="B12" s="90" t="s">
        <v>28</v>
      </c>
      <c r="C12" s="85" t="s">
        <v>356</v>
      </c>
      <c r="D12" s="85"/>
      <c r="E12" s="285"/>
      <c r="F12" s="285"/>
      <c r="G12" s="85"/>
      <c r="H12" s="85"/>
      <c r="I12" s="85"/>
      <c r="J12" s="85"/>
      <c r="K12" s="85"/>
      <c r="L12" s="85"/>
      <c r="M12" s="85" t="s">
        <v>364</v>
      </c>
      <c r="N12" s="3"/>
      <c r="O12" s="85"/>
      <c r="P12" s="85"/>
      <c r="Q12" s="85"/>
      <c r="R12" s="85"/>
      <c r="S12" s="85"/>
      <c r="T12" s="85"/>
      <c r="U12" s="85"/>
      <c r="V12" s="3"/>
      <c r="W12" s="3"/>
      <c r="X12" s="3"/>
      <c r="Y12" s="3"/>
      <c r="Z12" s="85"/>
      <c r="AA12" s="85"/>
      <c r="AB12" s="85"/>
      <c r="AC12" s="3"/>
      <c r="AD12" s="85"/>
      <c r="AE12" s="85"/>
      <c r="AF12" s="85"/>
      <c r="AG12" s="85"/>
      <c r="AH12" s="85"/>
      <c r="AI12" s="85"/>
      <c r="AJ12" s="3"/>
      <c r="AK12" s="85"/>
      <c r="AL12" s="85"/>
      <c r="AM12" s="3"/>
      <c r="AN12" s="3"/>
      <c r="AO12" s="3"/>
      <c r="AP12" s="3"/>
      <c r="AQ12" s="3"/>
      <c r="AR12" s="85"/>
      <c r="AS12" s="85"/>
      <c r="AT12" s="85"/>
      <c r="AU12" s="96"/>
      <c r="AV12" s="85"/>
      <c r="AW12" s="85"/>
      <c r="AX12" s="85"/>
      <c r="AY12" s="85"/>
      <c r="AZ12" s="85"/>
      <c r="BA12" s="85"/>
      <c r="BB12" s="85" t="str">
        <f t="shared" si="0"/>
        <v>キャンペーンA</v>
      </c>
      <c r="BC12" s="85" t="str">
        <f t="shared" si="1"/>
        <v/>
      </c>
      <c r="BD12" s="85" t="str">
        <f t="shared" si="2"/>
        <v/>
      </c>
      <c r="BE12" s="85" t="str">
        <f t="shared" si="3"/>
        <v/>
      </c>
      <c r="BF12" s="85" t="str">
        <f t="shared" si="4"/>
        <v/>
      </c>
      <c r="BG12" s="85" t="str">
        <f t="shared" si="5"/>
        <v/>
      </c>
      <c r="BH12" s="85" t="str">
        <f t="shared" si="6"/>
        <v/>
      </c>
      <c r="BI12" s="85" t="str">
        <f t="shared" si="7"/>
        <v/>
      </c>
    </row>
    <row r="13" spans="1:61" ht="19.5" customHeight="1">
      <c r="A13" s="3" t="s">
        <v>19</v>
      </c>
      <c r="B13" s="90" t="s">
        <v>28</v>
      </c>
      <c r="C13" s="85" t="s">
        <v>356</v>
      </c>
      <c r="D13" s="85"/>
      <c r="E13" s="285"/>
      <c r="F13" s="285"/>
      <c r="G13" s="85"/>
      <c r="H13" s="85"/>
      <c r="I13" s="85"/>
      <c r="J13" s="85"/>
      <c r="K13" s="85"/>
      <c r="L13" s="85"/>
      <c r="M13" s="85" t="s">
        <v>365</v>
      </c>
      <c r="N13" s="3"/>
      <c r="O13" s="85"/>
      <c r="P13" s="85"/>
      <c r="Q13" s="85"/>
      <c r="R13" s="85"/>
      <c r="S13" s="85"/>
      <c r="T13" s="85"/>
      <c r="U13" s="85"/>
      <c r="V13" s="3"/>
      <c r="W13" s="3"/>
      <c r="X13" s="3"/>
      <c r="Y13" s="3"/>
      <c r="Z13" s="85"/>
      <c r="AA13" s="85"/>
      <c r="AB13" s="85"/>
      <c r="AC13" s="3"/>
      <c r="AD13" s="85"/>
      <c r="AE13" s="85"/>
      <c r="AF13" s="85"/>
      <c r="AG13" s="85"/>
      <c r="AH13" s="85"/>
      <c r="AI13" s="85"/>
      <c r="AJ13" s="3"/>
      <c r="AK13" s="85"/>
      <c r="AL13" s="85"/>
      <c r="AM13" s="3"/>
      <c r="AN13" s="3"/>
      <c r="AO13" s="3"/>
      <c r="AP13" s="3"/>
      <c r="AQ13" s="3"/>
      <c r="AR13" s="85"/>
      <c r="AS13" s="85"/>
      <c r="AT13" s="85"/>
      <c r="AU13" s="96"/>
      <c r="AV13" s="85"/>
      <c r="AW13" s="85"/>
      <c r="AX13" s="85"/>
      <c r="AY13" s="85"/>
      <c r="AZ13" s="85"/>
      <c r="BA13" s="85"/>
      <c r="BB13" s="85" t="str">
        <f t="shared" si="0"/>
        <v>キャンペーンA</v>
      </c>
      <c r="BC13" s="85" t="str">
        <f t="shared" si="1"/>
        <v/>
      </c>
      <c r="BD13" s="85" t="str">
        <f t="shared" si="2"/>
        <v/>
      </c>
      <c r="BE13" s="85" t="str">
        <f t="shared" si="3"/>
        <v/>
      </c>
      <c r="BF13" s="85" t="str">
        <f t="shared" si="4"/>
        <v/>
      </c>
      <c r="BG13" s="85" t="str">
        <f t="shared" si="5"/>
        <v/>
      </c>
      <c r="BH13" s="85" t="str">
        <f t="shared" si="6"/>
        <v/>
      </c>
      <c r="BI13" s="85" t="str">
        <f t="shared" si="7"/>
        <v/>
      </c>
    </row>
    <row r="14" spans="1:61" ht="60">
      <c r="A14" s="3" t="s">
        <v>512</v>
      </c>
      <c r="B14" s="90" t="s">
        <v>28</v>
      </c>
      <c r="C14" s="85" t="s">
        <v>356</v>
      </c>
      <c r="D14" s="85"/>
      <c r="E14" s="285"/>
      <c r="F14" s="285"/>
      <c r="G14" s="85"/>
      <c r="H14" s="85"/>
      <c r="I14" s="85"/>
      <c r="J14" s="85"/>
      <c r="K14" s="85"/>
      <c r="L14" s="85"/>
      <c r="M14" s="85"/>
      <c r="N14" s="3" t="s">
        <v>366</v>
      </c>
      <c r="O14" s="98" t="s">
        <v>450</v>
      </c>
      <c r="P14" s="85"/>
      <c r="Q14" s="85"/>
      <c r="R14" s="85"/>
      <c r="S14" s="85"/>
      <c r="T14" s="85"/>
      <c r="U14" s="85"/>
      <c r="V14" s="3"/>
      <c r="W14" s="3"/>
      <c r="X14" s="3"/>
      <c r="Y14" s="3"/>
      <c r="Z14" s="85"/>
      <c r="AA14" s="85"/>
      <c r="AB14" s="85"/>
      <c r="AC14" s="3"/>
      <c r="AD14" s="85"/>
      <c r="AE14" s="85"/>
      <c r="AF14" s="85"/>
      <c r="AG14" s="85"/>
      <c r="AH14" s="85"/>
      <c r="AI14" s="85"/>
      <c r="AJ14" s="3"/>
      <c r="AK14" s="85"/>
      <c r="AL14" s="85"/>
      <c r="AM14" s="3"/>
      <c r="AN14" s="3"/>
      <c r="AO14" s="3"/>
      <c r="AP14" s="3"/>
      <c r="AQ14" s="3"/>
      <c r="AR14" s="85"/>
      <c r="AS14" s="85"/>
      <c r="AT14" s="85"/>
      <c r="AU14" s="96"/>
      <c r="AV14" s="85"/>
      <c r="AW14" s="85"/>
      <c r="AX14" s="85"/>
      <c r="AY14" s="85"/>
      <c r="AZ14" s="85"/>
      <c r="BA14" s="85"/>
      <c r="BB14" s="85" t="str">
        <f t="shared" si="0"/>
        <v/>
      </c>
      <c r="BC14" s="85" t="str">
        <f t="shared" si="1"/>
        <v/>
      </c>
      <c r="BD14" s="85" t="str">
        <f t="shared" si="2"/>
        <v/>
      </c>
      <c r="BE14" s="85" t="str">
        <f t="shared" si="3"/>
        <v>キャンペーン広告オプション(カテゴリ補足)</v>
      </c>
      <c r="BF14" s="85" t="str">
        <f t="shared" si="4"/>
        <v/>
      </c>
      <c r="BG14" s="85" t="str">
        <f t="shared" si="5"/>
        <v/>
      </c>
      <c r="BH14" s="85" t="str">
        <f t="shared" si="6"/>
        <v/>
      </c>
      <c r="BI14" s="85" t="str">
        <f t="shared" si="7"/>
        <v/>
      </c>
    </row>
    <row r="15" spans="1:61" ht="19.5" customHeight="1">
      <c r="A15" s="3" t="s">
        <v>19</v>
      </c>
      <c r="B15" s="90" t="s">
        <v>28</v>
      </c>
      <c r="C15" s="85" t="s">
        <v>356</v>
      </c>
      <c r="D15" s="85"/>
      <c r="E15" s="285"/>
      <c r="F15" s="285"/>
      <c r="G15" s="85"/>
      <c r="H15" s="85"/>
      <c r="I15" s="85"/>
      <c r="J15" s="85"/>
      <c r="K15" s="85"/>
      <c r="L15" s="85"/>
      <c r="M15" s="85"/>
      <c r="N15" s="3"/>
      <c r="O15" s="85"/>
      <c r="P15" s="85"/>
      <c r="Q15" s="85"/>
      <c r="R15" s="85"/>
      <c r="S15" s="85"/>
      <c r="T15" s="85"/>
      <c r="U15" s="85"/>
      <c r="V15" s="3"/>
      <c r="W15" s="3"/>
      <c r="X15" s="3"/>
      <c r="Y15" s="3"/>
      <c r="Z15" s="85"/>
      <c r="AA15" s="85"/>
      <c r="AB15" s="85"/>
      <c r="AC15" s="3"/>
      <c r="AD15" s="85"/>
      <c r="AE15" s="85"/>
      <c r="AF15" s="85"/>
      <c r="AG15" s="85"/>
      <c r="AH15" s="85"/>
      <c r="AI15" s="85"/>
      <c r="AJ15" s="3"/>
      <c r="AK15" s="85"/>
      <c r="AL15" s="85"/>
      <c r="AM15" s="3"/>
      <c r="AN15" s="3"/>
      <c r="AO15" s="3"/>
      <c r="AP15" s="3"/>
      <c r="AQ15" s="3"/>
      <c r="AR15" s="85"/>
      <c r="AS15" s="85"/>
      <c r="AT15" s="85"/>
      <c r="AU15" s="96"/>
      <c r="AV15" s="85"/>
      <c r="AW15" s="85"/>
      <c r="AX15" s="85"/>
      <c r="AY15" s="85"/>
      <c r="AZ15" s="85"/>
      <c r="BA15" s="85"/>
      <c r="BB15" s="85" t="str">
        <f t="shared" si="0"/>
        <v>キャンペーンA</v>
      </c>
      <c r="BC15" s="85" t="str">
        <f t="shared" si="1"/>
        <v/>
      </c>
      <c r="BD15" s="85" t="str">
        <f t="shared" si="2"/>
        <v/>
      </c>
      <c r="BE15" s="85" t="str">
        <f t="shared" si="3"/>
        <v/>
      </c>
      <c r="BF15" s="85" t="str">
        <f t="shared" si="4"/>
        <v/>
      </c>
      <c r="BG15" s="85" t="str">
        <f t="shared" si="5"/>
        <v/>
      </c>
      <c r="BH15" s="85" t="str">
        <f t="shared" si="6"/>
        <v/>
      </c>
      <c r="BI15" s="85" t="str">
        <f t="shared" si="7"/>
        <v/>
      </c>
    </row>
    <row r="16" spans="1:61" ht="19.5" customHeight="1">
      <c r="A16" s="3" t="s">
        <v>19</v>
      </c>
      <c r="B16" s="90" t="s">
        <v>28</v>
      </c>
      <c r="C16" s="85" t="s">
        <v>356</v>
      </c>
      <c r="D16" s="85"/>
      <c r="E16" s="285"/>
      <c r="F16" s="285"/>
      <c r="G16" s="85"/>
      <c r="H16" s="85"/>
      <c r="I16" s="85"/>
      <c r="J16" s="85"/>
      <c r="K16" s="85"/>
      <c r="L16" s="85"/>
      <c r="M16" s="85"/>
      <c r="N16" s="3"/>
      <c r="O16" s="85"/>
      <c r="P16" s="85"/>
      <c r="Q16" s="85"/>
      <c r="R16" s="85"/>
      <c r="S16" s="85"/>
      <c r="T16" s="85"/>
      <c r="U16" s="85"/>
      <c r="V16" s="3"/>
      <c r="W16" s="3"/>
      <c r="X16" s="3"/>
      <c r="Y16" s="3"/>
      <c r="Z16" s="85"/>
      <c r="AA16" s="85"/>
      <c r="AB16" s="85"/>
      <c r="AC16" s="3"/>
      <c r="AD16" s="85"/>
      <c r="AE16" s="85"/>
      <c r="AF16" s="85"/>
      <c r="AG16" s="85"/>
      <c r="AH16" s="85"/>
      <c r="AI16" s="85"/>
      <c r="AJ16" s="3"/>
      <c r="AK16" s="85"/>
      <c r="AL16" s="85"/>
      <c r="AM16" s="3"/>
      <c r="AN16" s="3"/>
      <c r="AO16" s="3"/>
      <c r="AP16" s="3"/>
      <c r="AQ16" s="3"/>
      <c r="AR16" s="85"/>
      <c r="AS16" s="85"/>
      <c r="AT16" s="85"/>
      <c r="AU16" s="96"/>
      <c r="AV16" s="85"/>
      <c r="AW16" s="85"/>
      <c r="AX16" s="85"/>
      <c r="AY16" s="85"/>
      <c r="AZ16" s="85"/>
      <c r="BA16" s="85"/>
      <c r="BB16" s="85" t="str">
        <f t="shared" si="0"/>
        <v>キャンペーンA</v>
      </c>
      <c r="BC16" s="85" t="str">
        <f t="shared" si="1"/>
        <v/>
      </c>
      <c r="BD16" s="85" t="str">
        <f t="shared" si="2"/>
        <v/>
      </c>
      <c r="BE16" s="85" t="str">
        <f t="shared" si="3"/>
        <v/>
      </c>
      <c r="BF16" s="85" t="str">
        <f t="shared" si="4"/>
        <v/>
      </c>
      <c r="BG16" s="85" t="str">
        <f t="shared" si="5"/>
        <v/>
      </c>
      <c r="BH16" s="85" t="str">
        <f t="shared" si="6"/>
        <v/>
      </c>
      <c r="BI16" s="85" t="str">
        <f t="shared" si="7"/>
        <v/>
      </c>
    </row>
    <row r="17" spans="1:61" ht="19.5" customHeight="1">
      <c r="A17" s="3" t="s">
        <v>19</v>
      </c>
      <c r="B17" s="90" t="s">
        <v>28</v>
      </c>
      <c r="C17" s="85" t="s">
        <v>356</v>
      </c>
      <c r="D17" s="85"/>
      <c r="E17" s="285"/>
      <c r="F17" s="285"/>
      <c r="G17" s="85"/>
      <c r="H17" s="85"/>
      <c r="I17" s="85"/>
      <c r="J17" s="85"/>
      <c r="K17" s="85"/>
      <c r="L17" s="85"/>
      <c r="M17" s="85"/>
      <c r="N17" s="3"/>
      <c r="O17" s="85"/>
      <c r="P17" s="85"/>
      <c r="Q17" s="85"/>
      <c r="R17" s="85"/>
      <c r="S17" s="85"/>
      <c r="T17" s="85"/>
      <c r="U17" s="85"/>
      <c r="V17" s="3"/>
      <c r="W17" s="3"/>
      <c r="X17" s="3"/>
      <c r="Y17" s="3"/>
      <c r="Z17" s="85"/>
      <c r="AA17" s="85"/>
      <c r="AB17" s="85"/>
      <c r="AC17" s="3"/>
      <c r="AD17" s="85"/>
      <c r="AE17" s="85"/>
      <c r="AF17" s="85"/>
      <c r="AG17" s="85"/>
      <c r="AH17" s="85"/>
      <c r="AI17" s="85"/>
      <c r="AJ17" s="3"/>
      <c r="AK17" s="85"/>
      <c r="AL17" s="85"/>
      <c r="AM17" s="3"/>
      <c r="AN17" s="3"/>
      <c r="AO17" s="3"/>
      <c r="AP17" s="3"/>
      <c r="AQ17" s="3"/>
      <c r="AR17" s="85"/>
      <c r="AS17" s="85"/>
      <c r="AT17" s="85"/>
      <c r="AU17" s="96"/>
      <c r="AV17" s="85"/>
      <c r="AW17" s="85"/>
      <c r="AX17" s="85"/>
      <c r="AY17" s="85"/>
      <c r="AZ17" s="85"/>
      <c r="BA17" s="85"/>
      <c r="BB17" s="85" t="str">
        <f t="shared" si="0"/>
        <v>キャンペーンA</v>
      </c>
      <c r="BC17" s="85" t="str">
        <f t="shared" si="1"/>
        <v/>
      </c>
      <c r="BD17" s="85" t="str">
        <f t="shared" si="2"/>
        <v/>
      </c>
      <c r="BE17" s="85" t="str">
        <f t="shared" si="3"/>
        <v/>
      </c>
      <c r="BF17" s="85" t="str">
        <f t="shared" si="4"/>
        <v/>
      </c>
      <c r="BG17" s="85" t="str">
        <f t="shared" si="5"/>
        <v/>
      </c>
      <c r="BH17" s="85" t="str">
        <f t="shared" si="6"/>
        <v/>
      </c>
      <c r="BI17" s="85" t="str">
        <f t="shared" si="7"/>
        <v/>
      </c>
    </row>
    <row r="18" spans="1:61" ht="19.5" customHeight="1">
      <c r="A18" s="3" t="s">
        <v>19</v>
      </c>
      <c r="B18" s="90" t="s">
        <v>28</v>
      </c>
      <c r="C18" s="85" t="s">
        <v>356</v>
      </c>
      <c r="D18" s="85"/>
      <c r="E18" s="285"/>
      <c r="F18" s="285"/>
      <c r="G18" s="85"/>
      <c r="H18" s="85"/>
      <c r="I18" s="85"/>
      <c r="J18" s="85"/>
      <c r="K18" s="85"/>
      <c r="L18" s="85"/>
      <c r="M18" s="85"/>
      <c r="N18" s="3"/>
      <c r="O18" s="85"/>
      <c r="P18" s="85" t="s">
        <v>367</v>
      </c>
      <c r="Q18" s="85"/>
      <c r="R18" s="85"/>
      <c r="S18" s="85"/>
      <c r="T18" s="85"/>
      <c r="U18" s="85"/>
      <c r="V18" s="3"/>
      <c r="W18" s="3"/>
      <c r="X18" s="3"/>
      <c r="Y18" s="3"/>
      <c r="Z18" s="85"/>
      <c r="AA18" s="85"/>
      <c r="AB18" s="85"/>
      <c r="AC18" s="3"/>
      <c r="AD18" s="85"/>
      <c r="AE18" s="85"/>
      <c r="AF18" s="85"/>
      <c r="AG18" s="85"/>
      <c r="AH18" s="85"/>
      <c r="AI18" s="85"/>
      <c r="AJ18" s="3"/>
      <c r="AK18" s="85"/>
      <c r="AL18" s="85"/>
      <c r="AM18" s="3"/>
      <c r="AN18" s="3"/>
      <c r="AO18" s="3"/>
      <c r="AP18" s="3"/>
      <c r="AQ18" s="3"/>
      <c r="AR18" s="85"/>
      <c r="AS18" s="85"/>
      <c r="AT18" s="85"/>
      <c r="AU18" s="96"/>
      <c r="AV18" s="85"/>
      <c r="AW18" s="85"/>
      <c r="AX18" s="85"/>
      <c r="AY18" s="85"/>
      <c r="AZ18" s="85"/>
      <c r="BA18" s="85"/>
      <c r="BB18" s="85" t="str">
        <f t="shared" si="0"/>
        <v>キャンペーンA</v>
      </c>
      <c r="BC18" s="85" t="str">
        <f t="shared" si="1"/>
        <v/>
      </c>
      <c r="BD18" s="85" t="str">
        <f t="shared" si="2"/>
        <v/>
      </c>
      <c r="BE18" s="85" t="str">
        <f t="shared" si="3"/>
        <v/>
      </c>
      <c r="BF18" s="85" t="str">
        <f t="shared" si="4"/>
        <v/>
      </c>
      <c r="BG18" s="85" t="str">
        <f t="shared" si="5"/>
        <v/>
      </c>
      <c r="BH18" s="85" t="str">
        <f t="shared" si="6"/>
        <v/>
      </c>
      <c r="BI18" s="85" t="str">
        <f t="shared" si="7"/>
        <v/>
      </c>
    </row>
    <row r="19" spans="1:61" ht="19.5" customHeight="1">
      <c r="A19" s="3" t="s">
        <v>19</v>
      </c>
      <c r="B19" s="90" t="s">
        <v>28</v>
      </c>
      <c r="C19" s="85" t="s">
        <v>356</v>
      </c>
      <c r="D19" s="85"/>
      <c r="E19" s="285"/>
      <c r="F19" s="285"/>
      <c r="G19" s="85"/>
      <c r="H19" s="85"/>
      <c r="I19" s="85"/>
      <c r="J19" s="85"/>
      <c r="K19" s="85"/>
      <c r="L19" s="85"/>
      <c r="M19" s="85"/>
      <c r="N19" s="3"/>
      <c r="O19" s="85"/>
      <c r="P19" s="85"/>
      <c r="Q19" s="85"/>
      <c r="R19" s="85" t="s">
        <v>368</v>
      </c>
      <c r="S19" s="85"/>
      <c r="T19" s="85"/>
      <c r="U19" s="85"/>
      <c r="V19" s="3"/>
      <c r="W19" s="3"/>
      <c r="X19" s="3"/>
      <c r="Y19" s="3"/>
      <c r="Z19" s="85"/>
      <c r="AA19" s="85"/>
      <c r="AB19" s="85"/>
      <c r="AC19" s="3"/>
      <c r="AD19" s="85"/>
      <c r="AE19" s="85"/>
      <c r="AF19" s="85"/>
      <c r="AG19" s="85"/>
      <c r="AH19" s="85"/>
      <c r="AI19" s="85"/>
      <c r="AJ19" s="3"/>
      <c r="AK19" s="85"/>
      <c r="AL19" s="85"/>
      <c r="AM19" s="3"/>
      <c r="AN19" s="3"/>
      <c r="AO19" s="3"/>
      <c r="AP19" s="3"/>
      <c r="AQ19" s="3"/>
      <c r="AR19" s="85"/>
      <c r="AS19" s="85"/>
      <c r="AT19" s="85"/>
      <c r="AU19" s="96"/>
      <c r="AV19" s="85"/>
      <c r="AW19" s="85"/>
      <c r="AX19" s="85"/>
      <c r="AY19" s="85"/>
      <c r="AZ19" s="85"/>
      <c r="BA19" s="85"/>
      <c r="BB19" s="85" t="str">
        <f t="shared" si="0"/>
        <v>キャンペーンA</v>
      </c>
      <c r="BC19" s="85" t="str">
        <f t="shared" si="1"/>
        <v/>
      </c>
      <c r="BD19" s="85" t="str">
        <f t="shared" si="2"/>
        <v/>
      </c>
      <c r="BE19" s="85" t="str">
        <f t="shared" si="3"/>
        <v/>
      </c>
      <c r="BF19" s="85" t="str">
        <f t="shared" si="4"/>
        <v/>
      </c>
      <c r="BG19" s="85" t="str">
        <f t="shared" si="5"/>
        <v/>
      </c>
      <c r="BH19" s="85" t="str">
        <f t="shared" si="6"/>
        <v/>
      </c>
      <c r="BI19" s="85" t="str">
        <f t="shared" si="7"/>
        <v/>
      </c>
    </row>
    <row r="20" spans="1:61" ht="19.5" customHeight="1">
      <c r="A20" s="3" t="s">
        <v>19</v>
      </c>
      <c r="B20" s="90" t="s">
        <v>28</v>
      </c>
      <c r="C20" s="85" t="s">
        <v>356</v>
      </c>
      <c r="D20" s="85"/>
      <c r="E20" s="285"/>
      <c r="F20" s="285"/>
      <c r="G20" s="85"/>
      <c r="H20" s="85"/>
      <c r="I20" s="85"/>
      <c r="J20" s="85"/>
      <c r="K20" s="85"/>
      <c r="L20" s="85"/>
      <c r="M20" s="85"/>
      <c r="N20" s="3"/>
      <c r="O20" s="85"/>
      <c r="P20" s="85"/>
      <c r="Q20" s="85"/>
      <c r="R20" s="85"/>
      <c r="S20" s="85"/>
      <c r="T20" s="85"/>
      <c r="U20" s="85"/>
      <c r="V20" s="3" t="s">
        <v>482</v>
      </c>
      <c r="W20" s="3" t="s">
        <v>369</v>
      </c>
      <c r="X20" s="3" t="s">
        <v>370</v>
      </c>
      <c r="Y20" s="3" t="s">
        <v>274</v>
      </c>
      <c r="Z20" s="85" t="s">
        <v>371</v>
      </c>
      <c r="AA20" s="85" t="s">
        <v>372</v>
      </c>
      <c r="AB20" s="85">
        <v>1000</v>
      </c>
      <c r="AC20" s="3" t="s">
        <v>277</v>
      </c>
      <c r="AD20" s="85" t="s">
        <v>358</v>
      </c>
      <c r="AE20" s="85"/>
      <c r="AF20" s="85"/>
      <c r="AG20" s="85"/>
      <c r="AH20" s="85"/>
      <c r="AI20" s="85"/>
      <c r="AJ20" s="3"/>
      <c r="AK20" s="85"/>
      <c r="AL20" s="85"/>
      <c r="AM20" s="3"/>
      <c r="AN20" s="3"/>
      <c r="AO20" s="3"/>
      <c r="AP20" s="3"/>
      <c r="AQ20" s="3"/>
      <c r="AR20" s="85"/>
      <c r="AS20" s="85"/>
      <c r="AT20" s="85"/>
      <c r="AU20" s="96"/>
      <c r="AV20" s="85"/>
      <c r="AW20" s="85"/>
      <c r="AX20" s="85"/>
      <c r="AY20" s="85"/>
      <c r="AZ20" s="85"/>
      <c r="BA20" s="85"/>
      <c r="BB20" s="85" t="str">
        <f t="shared" si="0"/>
        <v>キャンペーンA</v>
      </c>
      <c r="BC20" s="85" t="str">
        <f t="shared" si="1"/>
        <v/>
      </c>
      <c r="BD20" s="85" t="str">
        <f t="shared" si="2"/>
        <v/>
      </c>
      <c r="BE20" s="85" t="str">
        <f t="shared" si="3"/>
        <v/>
      </c>
      <c r="BF20" s="85" t="str">
        <f t="shared" si="4"/>
        <v/>
      </c>
      <c r="BG20" s="85" t="str">
        <f t="shared" si="5"/>
        <v/>
      </c>
      <c r="BH20" s="85" t="str">
        <f t="shared" si="6"/>
        <v/>
      </c>
      <c r="BI20" s="85" t="str">
        <f t="shared" si="7"/>
        <v/>
      </c>
    </row>
    <row r="21" spans="1:61" ht="19.5" customHeight="1">
      <c r="A21" s="91" t="s">
        <v>373</v>
      </c>
      <c r="B21" s="91"/>
      <c r="C21" s="91"/>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2"/>
      <c r="AK21" s="92"/>
      <c r="AL21" s="92"/>
      <c r="AM21" s="92"/>
      <c r="AN21" s="92"/>
      <c r="AO21" s="92"/>
      <c r="AP21" s="92"/>
      <c r="AQ21" s="92"/>
      <c r="AR21" s="92"/>
      <c r="AS21" s="92"/>
      <c r="AT21" s="92"/>
      <c r="AU21" s="92"/>
      <c r="AV21" s="92"/>
      <c r="AW21" s="92"/>
      <c r="AX21" s="92"/>
      <c r="AY21" s="92"/>
      <c r="AZ21" s="92"/>
      <c r="BA21" s="92"/>
      <c r="BB21" s="85" t="str">
        <f t="shared" si="0"/>
        <v/>
      </c>
      <c r="BC21" s="85" t="str">
        <f t="shared" si="1"/>
        <v/>
      </c>
      <c r="BD21" s="85" t="str">
        <f t="shared" si="2"/>
        <v/>
      </c>
      <c r="BE21" s="85" t="str">
        <f t="shared" si="3"/>
        <v/>
      </c>
      <c r="BF21" s="85" t="str">
        <f t="shared" si="4"/>
        <v/>
      </c>
      <c r="BG21" s="85" t="str">
        <f t="shared" si="5"/>
        <v/>
      </c>
      <c r="BH21" s="85" t="str">
        <f t="shared" si="6"/>
        <v/>
      </c>
      <c r="BI21" s="85" t="str">
        <f t="shared" si="7"/>
        <v/>
      </c>
    </row>
    <row r="22" spans="1:61" ht="19.5" customHeight="1">
      <c r="A22" s="3" t="s">
        <v>186</v>
      </c>
      <c r="B22" s="90" t="s">
        <v>662</v>
      </c>
      <c r="C22" s="3"/>
      <c r="D22" s="3"/>
      <c r="E22" s="96"/>
      <c r="F22" s="96"/>
      <c r="G22" s="3"/>
      <c r="H22" s="3"/>
      <c r="I22" s="3"/>
      <c r="J22" s="3"/>
      <c r="K22" s="3"/>
      <c r="L22" s="3"/>
      <c r="M22" s="3"/>
      <c r="N22" s="3" t="s">
        <v>186</v>
      </c>
      <c r="O22" s="3"/>
      <c r="P22" s="3"/>
      <c r="Q22" s="3"/>
      <c r="R22" s="3"/>
      <c r="S22" s="3"/>
      <c r="T22" s="3"/>
      <c r="U22" s="3"/>
      <c r="V22" s="3" t="s">
        <v>186</v>
      </c>
      <c r="W22" s="3" t="s">
        <v>186</v>
      </c>
      <c r="X22" s="3" t="s">
        <v>186</v>
      </c>
      <c r="Y22" s="3" t="s">
        <v>186</v>
      </c>
      <c r="Z22" s="3"/>
      <c r="AA22" s="3"/>
      <c r="AB22" s="3"/>
      <c r="AC22" s="3" t="s">
        <v>186</v>
      </c>
      <c r="AD22" s="3"/>
      <c r="AE22" s="3"/>
      <c r="AF22" s="3"/>
      <c r="AG22" s="3"/>
      <c r="AH22" s="3"/>
      <c r="AI22" s="3"/>
      <c r="AJ22" s="3" t="s">
        <v>186</v>
      </c>
      <c r="AK22" s="85"/>
      <c r="AL22" s="85"/>
      <c r="AM22" s="3" t="s">
        <v>186</v>
      </c>
      <c r="AN22" s="3" t="s">
        <v>186</v>
      </c>
      <c r="AO22" s="3" t="s">
        <v>186</v>
      </c>
      <c r="AP22" s="3" t="s">
        <v>186</v>
      </c>
      <c r="AQ22" s="3" t="s">
        <v>186</v>
      </c>
      <c r="AR22" s="3"/>
      <c r="AS22" s="3"/>
      <c r="AT22" s="3"/>
      <c r="AU22" s="96" t="s">
        <v>186</v>
      </c>
      <c r="AV22" s="3"/>
      <c r="AW22" s="3"/>
      <c r="AX22" s="96"/>
      <c r="AY22" s="96"/>
      <c r="AZ22" s="96"/>
      <c r="BA22" s="96"/>
      <c r="BB22" s="85" t="str">
        <f t="shared" si="0"/>
        <v/>
      </c>
      <c r="BC22" s="85" t="str">
        <f t="shared" si="1"/>
        <v/>
      </c>
      <c r="BD22" s="85" t="str">
        <f t="shared" si="2"/>
        <v/>
      </c>
      <c r="BE22" s="85" t="str">
        <f t="shared" si="3"/>
        <v/>
      </c>
      <c r="BF22" s="85" t="str">
        <f t="shared" si="4"/>
        <v/>
      </c>
      <c r="BG22" s="85" t="str">
        <f t="shared" si="5"/>
        <v/>
      </c>
      <c r="BH22" s="85" t="str">
        <f t="shared" si="6"/>
        <v/>
      </c>
      <c r="BI22" s="85" t="str">
        <f t="shared" si="7"/>
        <v/>
      </c>
    </row>
    <row r="23" spans="1:61" ht="19.5" customHeight="1">
      <c r="A23" s="3" t="s">
        <v>186</v>
      </c>
      <c r="B23" s="90" t="s">
        <v>662</v>
      </c>
      <c r="C23" s="3"/>
      <c r="D23" s="3"/>
      <c r="E23" s="96"/>
      <c r="F23" s="96"/>
      <c r="G23" s="3"/>
      <c r="H23" s="3"/>
      <c r="I23" s="3"/>
      <c r="J23" s="3"/>
      <c r="K23" s="3"/>
      <c r="L23" s="3"/>
      <c r="M23" s="3"/>
      <c r="N23" s="3" t="s">
        <v>186</v>
      </c>
      <c r="O23" s="3"/>
      <c r="P23" s="3"/>
      <c r="Q23" s="3"/>
      <c r="R23" s="3"/>
      <c r="S23" s="3"/>
      <c r="T23" s="3"/>
      <c r="U23" s="3"/>
      <c r="V23" s="3" t="s">
        <v>186</v>
      </c>
      <c r="W23" s="3" t="s">
        <v>186</v>
      </c>
      <c r="X23" s="3" t="s">
        <v>186</v>
      </c>
      <c r="Y23" s="3" t="s">
        <v>186</v>
      </c>
      <c r="Z23" s="3"/>
      <c r="AA23" s="3"/>
      <c r="AB23" s="3"/>
      <c r="AC23" s="3" t="s">
        <v>186</v>
      </c>
      <c r="AD23" s="3"/>
      <c r="AE23" s="3"/>
      <c r="AF23" s="3"/>
      <c r="AG23" s="3"/>
      <c r="AH23" s="3"/>
      <c r="AI23" s="3"/>
      <c r="AJ23" s="3" t="s">
        <v>186</v>
      </c>
      <c r="AK23" s="85"/>
      <c r="AL23" s="85"/>
      <c r="AM23" s="3" t="s">
        <v>186</v>
      </c>
      <c r="AN23" s="3" t="s">
        <v>186</v>
      </c>
      <c r="AO23" s="3" t="s">
        <v>186</v>
      </c>
      <c r="AP23" s="3" t="s">
        <v>186</v>
      </c>
      <c r="AQ23" s="3" t="s">
        <v>186</v>
      </c>
      <c r="AR23" s="3"/>
      <c r="AS23" s="3"/>
      <c r="AT23" s="3"/>
      <c r="AU23" s="96" t="s">
        <v>186</v>
      </c>
      <c r="AV23" s="3"/>
      <c r="AW23" s="3"/>
      <c r="AX23" s="96"/>
      <c r="AY23" s="96"/>
      <c r="AZ23" s="96"/>
      <c r="BA23" s="96"/>
      <c r="BB23" s="85" t="str">
        <f t="shared" ref="BB23:BB30" si="8">IF(A23="Google",IF(B23="アカウント","Account -Level",C23),"")</f>
        <v/>
      </c>
      <c r="BC23" s="85" t="str">
        <f t="shared" ref="BC23:BC30" si="9">IF($A23="Yahoo!",IF(G23&lt;&gt;"",IF($B23="キャンペーン","キャンペーン広告オプション(クイックリンク)",IF($B23="広告グループ","広告グループ広告オプション(クイックリンク)","")),""),"")</f>
        <v/>
      </c>
      <c r="BD23" s="85" t="str">
        <f t="shared" ref="BD23:BD30" si="10">IF($A23="Yahoo!",IF(M23&lt;&gt;"",IF($B23="キャンペーン","キャンペーン広告オプション(テキスト補足)",IF($B23="広告グループ","広告グループ広告オプション(テキスト補足)","")),""),"")</f>
        <v/>
      </c>
      <c r="BE23" s="85" t="str">
        <f t="shared" ref="BE23:BE30" si="11">IF($A23="Yahoo!",IF(N23&lt;&gt;"",IF($B23="キャンペーン","キャンペーン広告オプション(カテゴリ補足)",IF($B23="広告グループ","広告グループ広告オプション(カテゴリ補足)","")),""),"")</f>
        <v/>
      </c>
      <c r="BF23" s="85" t="str">
        <f t="shared" ref="BF23:BF30" si="12">IF($A23="Yahoo!",IF(P23&lt;&gt;"",IF($B23="キャンペーン","キャンペーン広告オプション(電話番号)",IF($B23="広告グループ","広告グループ広告オプション(電話番号)","")),""),"")</f>
        <v/>
      </c>
      <c r="BG23" s="85" t="str">
        <f t="shared" si="5"/>
        <v/>
      </c>
      <c r="BH23" s="85" t="str">
        <f t="shared" si="6"/>
        <v/>
      </c>
      <c r="BI23" s="85" t="str">
        <f t="shared" si="7"/>
        <v/>
      </c>
    </row>
    <row r="24" spans="1:61" ht="19.5" customHeight="1">
      <c r="A24" s="3" t="s">
        <v>1763</v>
      </c>
      <c r="B24" s="90" t="s">
        <v>662</v>
      </c>
      <c r="C24" s="3"/>
      <c r="D24" s="3"/>
      <c r="E24" s="96"/>
      <c r="F24" s="96"/>
      <c r="G24" s="3"/>
      <c r="H24" s="3"/>
      <c r="I24" s="3"/>
      <c r="J24" s="3"/>
      <c r="K24" s="3"/>
      <c r="L24" s="3"/>
      <c r="M24" s="3"/>
      <c r="N24" s="3" t="s">
        <v>186</v>
      </c>
      <c r="O24" s="3"/>
      <c r="P24" s="3"/>
      <c r="Q24" s="3"/>
      <c r="R24" s="3"/>
      <c r="S24" s="3"/>
      <c r="T24" s="3"/>
      <c r="U24" s="3"/>
      <c r="V24" s="3" t="s">
        <v>186</v>
      </c>
      <c r="W24" s="3" t="s">
        <v>186</v>
      </c>
      <c r="X24" s="3" t="s">
        <v>186</v>
      </c>
      <c r="Y24" s="3" t="s">
        <v>186</v>
      </c>
      <c r="Z24" s="3"/>
      <c r="AA24" s="3"/>
      <c r="AB24" s="3"/>
      <c r="AC24" s="3" t="s">
        <v>186</v>
      </c>
      <c r="AD24" s="3"/>
      <c r="AE24" s="3"/>
      <c r="AF24" s="3"/>
      <c r="AG24" s="3"/>
      <c r="AH24" s="3"/>
      <c r="AI24" s="3"/>
      <c r="AJ24" s="3" t="s">
        <v>186</v>
      </c>
      <c r="AK24" s="85"/>
      <c r="AL24" s="85"/>
      <c r="AM24" s="3" t="s">
        <v>186</v>
      </c>
      <c r="AN24" s="3" t="s">
        <v>186</v>
      </c>
      <c r="AO24" s="3" t="s">
        <v>186</v>
      </c>
      <c r="AP24" s="3" t="s">
        <v>186</v>
      </c>
      <c r="AQ24" s="3" t="s">
        <v>186</v>
      </c>
      <c r="AR24" s="3"/>
      <c r="AS24" s="3"/>
      <c r="AT24" s="3"/>
      <c r="AU24" s="96" t="s">
        <v>186</v>
      </c>
      <c r="AV24" s="3"/>
      <c r="AW24" s="3"/>
      <c r="AX24" s="96"/>
      <c r="AY24" s="96"/>
      <c r="AZ24" s="96"/>
      <c r="BA24" s="96"/>
      <c r="BB24" s="85" t="str">
        <f t="shared" si="8"/>
        <v/>
      </c>
      <c r="BC24" s="85" t="str">
        <f t="shared" si="9"/>
        <v/>
      </c>
      <c r="BD24" s="85" t="str">
        <f t="shared" si="10"/>
        <v/>
      </c>
      <c r="BE24" s="85" t="str">
        <f t="shared" si="11"/>
        <v/>
      </c>
      <c r="BF24" s="85" t="str">
        <f t="shared" si="12"/>
        <v/>
      </c>
      <c r="BG24" s="85" t="str">
        <f t="shared" si="5"/>
        <v/>
      </c>
      <c r="BH24" s="85" t="str">
        <f t="shared" si="6"/>
        <v/>
      </c>
      <c r="BI24" s="85" t="str">
        <f t="shared" si="7"/>
        <v/>
      </c>
    </row>
    <row r="25" spans="1:61" ht="19.5" customHeight="1">
      <c r="A25" s="3" t="s">
        <v>1763</v>
      </c>
      <c r="B25" s="90" t="s">
        <v>662</v>
      </c>
      <c r="C25" s="3"/>
      <c r="D25" s="3"/>
      <c r="E25" s="96"/>
      <c r="F25" s="96"/>
      <c r="G25" s="3"/>
      <c r="H25" s="3"/>
      <c r="I25" s="3"/>
      <c r="J25" s="3"/>
      <c r="K25" s="3"/>
      <c r="L25" s="3"/>
      <c r="M25" s="3"/>
      <c r="N25" s="3" t="s">
        <v>186</v>
      </c>
      <c r="O25" s="3"/>
      <c r="P25" s="3"/>
      <c r="Q25" s="3"/>
      <c r="R25" s="3"/>
      <c r="S25" s="3"/>
      <c r="T25" s="3"/>
      <c r="U25" s="3"/>
      <c r="V25" s="3" t="s">
        <v>186</v>
      </c>
      <c r="W25" s="3" t="s">
        <v>186</v>
      </c>
      <c r="X25" s="3" t="s">
        <v>186</v>
      </c>
      <c r="Y25" s="3" t="s">
        <v>186</v>
      </c>
      <c r="Z25" s="3"/>
      <c r="AA25" s="3"/>
      <c r="AB25" s="3"/>
      <c r="AC25" s="3" t="s">
        <v>186</v>
      </c>
      <c r="AD25" s="3"/>
      <c r="AE25" s="3"/>
      <c r="AF25" s="3"/>
      <c r="AG25" s="3"/>
      <c r="AH25" s="3"/>
      <c r="AI25" s="3"/>
      <c r="AJ25" s="3" t="s">
        <v>186</v>
      </c>
      <c r="AK25" s="85"/>
      <c r="AL25" s="85"/>
      <c r="AM25" s="3" t="s">
        <v>186</v>
      </c>
      <c r="AN25" s="3" t="s">
        <v>186</v>
      </c>
      <c r="AO25" s="3" t="s">
        <v>186</v>
      </c>
      <c r="AP25" s="3" t="s">
        <v>186</v>
      </c>
      <c r="AQ25" s="3" t="s">
        <v>186</v>
      </c>
      <c r="AR25" s="3"/>
      <c r="AS25" s="3"/>
      <c r="AT25" s="3"/>
      <c r="AU25" s="96" t="s">
        <v>186</v>
      </c>
      <c r="AV25" s="3"/>
      <c r="AW25" s="3"/>
      <c r="AX25" s="96"/>
      <c r="AY25" s="96"/>
      <c r="AZ25" s="96"/>
      <c r="BA25" s="96"/>
      <c r="BB25" s="85" t="str">
        <f t="shared" si="8"/>
        <v/>
      </c>
      <c r="BC25" s="85" t="str">
        <f t="shared" si="9"/>
        <v/>
      </c>
      <c r="BD25" s="85" t="str">
        <f t="shared" si="10"/>
        <v/>
      </c>
      <c r="BE25" s="85" t="str">
        <f t="shared" si="11"/>
        <v/>
      </c>
      <c r="BF25" s="85" t="str">
        <f t="shared" si="12"/>
        <v/>
      </c>
      <c r="BG25" s="85" t="str">
        <f t="shared" si="5"/>
        <v/>
      </c>
      <c r="BH25" s="85" t="str">
        <f t="shared" si="6"/>
        <v/>
      </c>
      <c r="BI25" s="85" t="str">
        <f t="shared" si="7"/>
        <v/>
      </c>
    </row>
    <row r="26" spans="1:61" ht="19.5" customHeight="1">
      <c r="A26" s="3" t="s">
        <v>1763</v>
      </c>
      <c r="B26" s="90" t="s">
        <v>662</v>
      </c>
      <c r="C26" s="3"/>
      <c r="D26" s="3"/>
      <c r="E26" s="96"/>
      <c r="F26" s="96"/>
      <c r="G26" s="3"/>
      <c r="H26" s="3"/>
      <c r="I26" s="3"/>
      <c r="J26" s="3"/>
      <c r="K26" s="3"/>
      <c r="L26" s="3"/>
      <c r="M26" s="3"/>
      <c r="N26" s="3" t="s">
        <v>186</v>
      </c>
      <c r="O26" s="3"/>
      <c r="P26" s="3"/>
      <c r="Q26" s="3"/>
      <c r="R26" s="3"/>
      <c r="S26" s="3"/>
      <c r="T26" s="3"/>
      <c r="U26" s="3"/>
      <c r="V26" s="3" t="s">
        <v>186</v>
      </c>
      <c r="W26" s="3" t="s">
        <v>186</v>
      </c>
      <c r="X26" s="3" t="s">
        <v>186</v>
      </c>
      <c r="Y26" s="3" t="s">
        <v>186</v>
      </c>
      <c r="Z26" s="3"/>
      <c r="AA26" s="3"/>
      <c r="AB26" s="3"/>
      <c r="AC26" s="3" t="s">
        <v>186</v>
      </c>
      <c r="AD26" s="3"/>
      <c r="AE26" s="3"/>
      <c r="AF26" s="3"/>
      <c r="AG26" s="3"/>
      <c r="AH26" s="3"/>
      <c r="AI26" s="3"/>
      <c r="AJ26" s="3" t="s">
        <v>186</v>
      </c>
      <c r="AK26" s="85"/>
      <c r="AL26" s="85"/>
      <c r="AM26" s="3" t="s">
        <v>186</v>
      </c>
      <c r="AN26" s="3" t="s">
        <v>186</v>
      </c>
      <c r="AO26" s="3" t="s">
        <v>186</v>
      </c>
      <c r="AP26" s="3" t="s">
        <v>186</v>
      </c>
      <c r="AQ26" s="3" t="s">
        <v>186</v>
      </c>
      <c r="AR26" s="3"/>
      <c r="AS26" s="3"/>
      <c r="AT26" s="3"/>
      <c r="AU26" s="96" t="s">
        <v>186</v>
      </c>
      <c r="AV26" s="3"/>
      <c r="AW26" s="3"/>
      <c r="AX26" s="96"/>
      <c r="AY26" s="96"/>
      <c r="AZ26" s="96"/>
      <c r="BA26" s="96"/>
      <c r="BB26" s="85" t="str">
        <f t="shared" si="8"/>
        <v/>
      </c>
      <c r="BC26" s="85" t="str">
        <f t="shared" si="9"/>
        <v/>
      </c>
      <c r="BD26" s="85" t="str">
        <f t="shared" si="10"/>
        <v/>
      </c>
      <c r="BE26" s="85" t="str">
        <f t="shared" si="11"/>
        <v/>
      </c>
      <c r="BF26" s="85" t="str">
        <f t="shared" si="12"/>
        <v/>
      </c>
      <c r="BG26" s="85" t="str">
        <f t="shared" si="5"/>
        <v/>
      </c>
      <c r="BH26" s="85" t="str">
        <f t="shared" si="6"/>
        <v/>
      </c>
      <c r="BI26" s="85" t="str">
        <f t="shared" si="7"/>
        <v/>
      </c>
    </row>
    <row r="27" spans="1:61" ht="19.5" customHeight="1">
      <c r="A27" s="3" t="s">
        <v>1763</v>
      </c>
      <c r="B27" s="90" t="s">
        <v>662</v>
      </c>
      <c r="C27" s="3"/>
      <c r="D27" s="3"/>
      <c r="E27" s="96"/>
      <c r="F27" s="96"/>
      <c r="G27" s="3"/>
      <c r="H27" s="3"/>
      <c r="I27" s="3"/>
      <c r="J27" s="3"/>
      <c r="K27" s="3"/>
      <c r="L27" s="3"/>
      <c r="M27" s="3"/>
      <c r="N27" s="3" t="s">
        <v>186</v>
      </c>
      <c r="O27" s="3"/>
      <c r="P27" s="3"/>
      <c r="Q27" s="3"/>
      <c r="R27" s="3"/>
      <c r="S27" s="3"/>
      <c r="T27" s="3"/>
      <c r="U27" s="3"/>
      <c r="V27" s="3" t="s">
        <v>186</v>
      </c>
      <c r="W27" s="3" t="s">
        <v>186</v>
      </c>
      <c r="X27" s="3" t="s">
        <v>186</v>
      </c>
      <c r="Y27" s="3" t="s">
        <v>186</v>
      </c>
      <c r="Z27" s="3"/>
      <c r="AA27" s="3"/>
      <c r="AB27" s="3"/>
      <c r="AC27" s="3" t="s">
        <v>186</v>
      </c>
      <c r="AD27" s="3"/>
      <c r="AE27" s="3"/>
      <c r="AF27" s="3"/>
      <c r="AG27" s="3"/>
      <c r="AH27" s="3"/>
      <c r="AI27" s="3"/>
      <c r="AJ27" s="3" t="s">
        <v>186</v>
      </c>
      <c r="AK27" s="85"/>
      <c r="AL27" s="85"/>
      <c r="AM27" s="3" t="s">
        <v>186</v>
      </c>
      <c r="AN27" s="3" t="s">
        <v>186</v>
      </c>
      <c r="AO27" s="3" t="s">
        <v>186</v>
      </c>
      <c r="AP27" s="3" t="s">
        <v>186</v>
      </c>
      <c r="AQ27" s="3" t="s">
        <v>186</v>
      </c>
      <c r="AR27" s="3"/>
      <c r="AS27" s="3"/>
      <c r="AT27" s="3"/>
      <c r="AU27" s="96" t="s">
        <v>186</v>
      </c>
      <c r="AV27" s="3"/>
      <c r="AW27" s="3"/>
      <c r="AX27" s="96"/>
      <c r="AY27" s="96"/>
      <c r="AZ27" s="96"/>
      <c r="BA27" s="96"/>
      <c r="BB27" s="85" t="str">
        <f t="shared" si="8"/>
        <v/>
      </c>
      <c r="BC27" s="85" t="str">
        <f t="shared" si="9"/>
        <v/>
      </c>
      <c r="BD27" s="85" t="str">
        <f t="shared" si="10"/>
        <v/>
      </c>
      <c r="BE27" s="85" t="str">
        <f t="shared" si="11"/>
        <v/>
      </c>
      <c r="BF27" s="85" t="str">
        <f t="shared" si="12"/>
        <v/>
      </c>
      <c r="BG27" s="85" t="str">
        <f t="shared" si="5"/>
        <v/>
      </c>
      <c r="BH27" s="85" t="str">
        <f t="shared" si="6"/>
        <v/>
      </c>
      <c r="BI27" s="85" t="str">
        <f t="shared" si="7"/>
        <v/>
      </c>
    </row>
    <row r="28" spans="1:61" ht="19.5" customHeight="1">
      <c r="A28" s="3" t="s">
        <v>1763</v>
      </c>
      <c r="B28" s="90" t="s">
        <v>662</v>
      </c>
      <c r="C28" s="3"/>
      <c r="D28" s="3"/>
      <c r="E28" s="96"/>
      <c r="F28" s="96"/>
      <c r="G28" s="3"/>
      <c r="H28" s="3"/>
      <c r="I28" s="3"/>
      <c r="J28" s="3"/>
      <c r="K28" s="3"/>
      <c r="L28" s="3"/>
      <c r="M28" s="3"/>
      <c r="N28" s="3" t="s">
        <v>186</v>
      </c>
      <c r="O28" s="3"/>
      <c r="P28" s="3"/>
      <c r="Q28" s="3"/>
      <c r="R28" s="3"/>
      <c r="S28" s="3"/>
      <c r="T28" s="3"/>
      <c r="U28" s="3"/>
      <c r="V28" s="3" t="s">
        <v>186</v>
      </c>
      <c r="W28" s="3" t="s">
        <v>186</v>
      </c>
      <c r="X28" s="3" t="s">
        <v>186</v>
      </c>
      <c r="Y28" s="3" t="s">
        <v>186</v>
      </c>
      <c r="Z28" s="3"/>
      <c r="AA28" s="3"/>
      <c r="AB28" s="3"/>
      <c r="AC28" s="3" t="s">
        <v>186</v>
      </c>
      <c r="AD28" s="3"/>
      <c r="AE28" s="3"/>
      <c r="AF28" s="3"/>
      <c r="AG28" s="3"/>
      <c r="AH28" s="3"/>
      <c r="AI28" s="3"/>
      <c r="AJ28" s="3" t="s">
        <v>186</v>
      </c>
      <c r="AK28" s="85"/>
      <c r="AL28" s="85"/>
      <c r="AM28" s="3" t="s">
        <v>186</v>
      </c>
      <c r="AN28" s="3" t="s">
        <v>186</v>
      </c>
      <c r="AO28" s="3" t="s">
        <v>186</v>
      </c>
      <c r="AP28" s="3" t="s">
        <v>186</v>
      </c>
      <c r="AQ28" s="3" t="s">
        <v>186</v>
      </c>
      <c r="AR28" s="3"/>
      <c r="AS28" s="3"/>
      <c r="AT28" s="3"/>
      <c r="AU28" s="96" t="s">
        <v>186</v>
      </c>
      <c r="AV28" s="3"/>
      <c r="AW28" s="3"/>
      <c r="AX28" s="96"/>
      <c r="AY28" s="96"/>
      <c r="AZ28" s="96"/>
      <c r="BA28" s="96"/>
      <c r="BB28" s="85" t="str">
        <f t="shared" si="8"/>
        <v/>
      </c>
      <c r="BC28" s="85" t="str">
        <f t="shared" si="9"/>
        <v/>
      </c>
      <c r="BD28" s="85" t="str">
        <f t="shared" si="10"/>
        <v/>
      </c>
      <c r="BE28" s="85" t="str">
        <f t="shared" si="11"/>
        <v/>
      </c>
      <c r="BF28" s="85" t="str">
        <f t="shared" si="12"/>
        <v/>
      </c>
      <c r="BG28" s="85" t="str">
        <f t="shared" si="5"/>
        <v/>
      </c>
      <c r="BH28" s="85" t="str">
        <f t="shared" si="6"/>
        <v/>
      </c>
      <c r="BI28" s="85" t="str">
        <f t="shared" si="7"/>
        <v/>
      </c>
    </row>
    <row r="29" spans="1:61" ht="19.5" customHeight="1">
      <c r="A29" s="3" t="s">
        <v>1763</v>
      </c>
      <c r="B29" s="90" t="s">
        <v>662</v>
      </c>
      <c r="C29" s="3"/>
      <c r="D29" s="3"/>
      <c r="E29" s="96"/>
      <c r="F29" s="96"/>
      <c r="G29" s="3"/>
      <c r="H29" s="3"/>
      <c r="I29" s="3"/>
      <c r="J29" s="3"/>
      <c r="K29" s="3"/>
      <c r="L29" s="3"/>
      <c r="M29" s="3"/>
      <c r="N29" s="3" t="s">
        <v>186</v>
      </c>
      <c r="O29" s="3"/>
      <c r="P29" s="3"/>
      <c r="Q29" s="3"/>
      <c r="R29" s="3"/>
      <c r="S29" s="3"/>
      <c r="T29" s="3"/>
      <c r="U29" s="3"/>
      <c r="V29" s="3" t="s">
        <v>186</v>
      </c>
      <c r="W29" s="3" t="s">
        <v>186</v>
      </c>
      <c r="X29" s="3" t="s">
        <v>186</v>
      </c>
      <c r="Y29" s="3" t="s">
        <v>186</v>
      </c>
      <c r="Z29" s="3"/>
      <c r="AA29" s="3"/>
      <c r="AB29" s="3"/>
      <c r="AC29" s="3" t="s">
        <v>186</v>
      </c>
      <c r="AD29" s="3"/>
      <c r="AE29" s="3"/>
      <c r="AF29" s="3"/>
      <c r="AG29" s="3"/>
      <c r="AH29" s="3"/>
      <c r="AI29" s="3"/>
      <c r="AJ29" s="3" t="s">
        <v>186</v>
      </c>
      <c r="AK29" s="85"/>
      <c r="AL29" s="85"/>
      <c r="AM29" s="3" t="s">
        <v>186</v>
      </c>
      <c r="AN29" s="3" t="s">
        <v>186</v>
      </c>
      <c r="AO29" s="3" t="s">
        <v>186</v>
      </c>
      <c r="AP29" s="3" t="s">
        <v>186</v>
      </c>
      <c r="AQ29" s="3" t="s">
        <v>186</v>
      </c>
      <c r="AR29" s="3"/>
      <c r="AS29" s="3"/>
      <c r="AT29" s="3"/>
      <c r="AU29" s="96" t="s">
        <v>186</v>
      </c>
      <c r="AV29" s="3"/>
      <c r="AW29" s="3"/>
      <c r="AX29" s="96"/>
      <c r="AY29" s="96"/>
      <c r="AZ29" s="96"/>
      <c r="BA29" s="96"/>
      <c r="BB29" s="85" t="str">
        <f t="shared" si="8"/>
        <v/>
      </c>
      <c r="BC29" s="85" t="str">
        <f t="shared" si="9"/>
        <v/>
      </c>
      <c r="BD29" s="85" t="str">
        <f t="shared" si="10"/>
        <v/>
      </c>
      <c r="BE29" s="85" t="str">
        <f t="shared" si="11"/>
        <v/>
      </c>
      <c r="BF29" s="85" t="str">
        <f t="shared" si="12"/>
        <v/>
      </c>
      <c r="BG29" s="85" t="str">
        <f t="shared" si="5"/>
        <v/>
      </c>
      <c r="BH29" s="85" t="str">
        <f t="shared" si="6"/>
        <v/>
      </c>
      <c r="BI29" s="85" t="str">
        <f t="shared" si="7"/>
        <v/>
      </c>
    </row>
    <row r="30" spans="1:61" ht="19.5" customHeight="1">
      <c r="A30" s="3" t="s">
        <v>1763</v>
      </c>
      <c r="B30" s="90" t="s">
        <v>662</v>
      </c>
      <c r="C30" s="3"/>
      <c r="D30" s="3"/>
      <c r="E30" s="96"/>
      <c r="F30" s="96"/>
      <c r="G30" s="3"/>
      <c r="H30" s="3"/>
      <c r="I30" s="3"/>
      <c r="J30" s="3"/>
      <c r="K30" s="3"/>
      <c r="L30" s="3"/>
      <c r="M30" s="3"/>
      <c r="N30" s="3" t="s">
        <v>186</v>
      </c>
      <c r="O30" s="3"/>
      <c r="P30" s="3"/>
      <c r="Q30" s="3"/>
      <c r="R30" s="3"/>
      <c r="S30" s="3"/>
      <c r="T30" s="3"/>
      <c r="U30" s="3"/>
      <c r="V30" s="3" t="s">
        <v>186</v>
      </c>
      <c r="W30" s="3" t="s">
        <v>186</v>
      </c>
      <c r="X30" s="3" t="s">
        <v>186</v>
      </c>
      <c r="Y30" s="3" t="s">
        <v>186</v>
      </c>
      <c r="Z30" s="3"/>
      <c r="AA30" s="3"/>
      <c r="AB30" s="3"/>
      <c r="AC30" s="3" t="s">
        <v>186</v>
      </c>
      <c r="AD30" s="3"/>
      <c r="AE30" s="3"/>
      <c r="AF30" s="3"/>
      <c r="AG30" s="3"/>
      <c r="AH30" s="3"/>
      <c r="AI30" s="3"/>
      <c r="AJ30" s="3" t="s">
        <v>186</v>
      </c>
      <c r="AK30" s="85"/>
      <c r="AL30" s="85"/>
      <c r="AM30" s="3" t="s">
        <v>186</v>
      </c>
      <c r="AN30" s="3" t="s">
        <v>186</v>
      </c>
      <c r="AO30" s="3" t="s">
        <v>186</v>
      </c>
      <c r="AP30" s="3" t="s">
        <v>186</v>
      </c>
      <c r="AQ30" s="3" t="s">
        <v>186</v>
      </c>
      <c r="AR30" s="3"/>
      <c r="AS30" s="3"/>
      <c r="AT30" s="3"/>
      <c r="AU30" s="96" t="s">
        <v>186</v>
      </c>
      <c r="AV30" s="3"/>
      <c r="AW30" s="3"/>
      <c r="AX30" s="96"/>
      <c r="AY30" s="96"/>
      <c r="AZ30" s="96"/>
      <c r="BA30" s="96"/>
      <c r="BB30" s="85" t="str">
        <f t="shared" si="8"/>
        <v/>
      </c>
      <c r="BC30" s="85" t="str">
        <f t="shared" si="9"/>
        <v/>
      </c>
      <c r="BD30" s="85" t="str">
        <f t="shared" si="10"/>
        <v/>
      </c>
      <c r="BE30" s="85" t="str">
        <f t="shared" si="11"/>
        <v/>
      </c>
      <c r="BF30" s="85" t="str">
        <f t="shared" si="12"/>
        <v/>
      </c>
      <c r="BG30" s="85" t="str">
        <f t="shared" si="5"/>
        <v/>
      </c>
      <c r="BH30" s="85" t="str">
        <f t="shared" si="6"/>
        <v/>
      </c>
      <c r="BI30" s="85" t="str">
        <f>IF(OR($AQ30="割引率",$AQ30="最大割引率"),$AR30,"")</f>
        <v/>
      </c>
    </row>
  </sheetData>
  <mergeCells count="10">
    <mergeCell ref="AZ4:BA4"/>
    <mergeCell ref="A4:F4"/>
    <mergeCell ref="AF4:AI4"/>
    <mergeCell ref="AJ4:AM4"/>
    <mergeCell ref="AN4:AY4"/>
    <mergeCell ref="V4:AE4"/>
    <mergeCell ref="G4:L4"/>
    <mergeCell ref="N4:O4"/>
    <mergeCell ref="P4:Q4"/>
    <mergeCell ref="R4:U4"/>
  </mergeCells>
  <phoneticPr fontId="20"/>
  <conditionalFormatting sqref="G22:G30">
    <cfRule type="expression" dxfId="66" priority="11">
      <formula>LENB(G22)&gt;25</formula>
    </cfRule>
  </conditionalFormatting>
  <conditionalFormatting sqref="H22:H30">
    <cfRule type="expression" dxfId="65" priority="10">
      <formula>LENB(H22)&gt;35</formula>
    </cfRule>
  </conditionalFormatting>
  <conditionalFormatting sqref="I22:I30">
    <cfRule type="expression" dxfId="64" priority="9">
      <formula>LENB(I22)&gt;35</formula>
    </cfRule>
  </conditionalFormatting>
  <conditionalFormatting sqref="M22:M30">
    <cfRule type="expression" dxfId="63" priority="8">
      <formula>LENB(M22)&gt;25</formula>
    </cfRule>
  </conditionalFormatting>
  <conditionalFormatting sqref="Z22:Z30">
    <cfRule type="expression" dxfId="62" priority="7">
      <formula>LENB(Z22)&gt;25</formula>
    </cfRule>
  </conditionalFormatting>
  <conditionalFormatting sqref="AA22:AA30">
    <cfRule type="expression" dxfId="61" priority="6">
      <formula>LENB(AA22)&gt;25</formula>
    </cfRule>
  </conditionalFormatting>
  <conditionalFormatting sqref="AG22:AG30">
    <cfRule type="expression" dxfId="60" priority="5">
      <formula>LENB(AG22)&gt;35</formula>
    </cfRule>
  </conditionalFormatting>
  <conditionalFormatting sqref="AH22:AH30">
    <cfRule type="expression" dxfId="59" priority="4">
      <formula>LENB(AH22)&gt;25</formula>
    </cfRule>
  </conditionalFormatting>
  <conditionalFormatting sqref="AI22:AI30">
    <cfRule type="expression" dxfId="58" priority="3">
      <formula>LENB(AI22)&gt;100</formula>
    </cfRule>
  </conditionalFormatting>
  <conditionalFormatting sqref="AL22:AL30">
    <cfRule type="expression" dxfId="57" priority="2">
      <formula>LENB(AL22)&gt;25</formula>
    </cfRule>
  </conditionalFormatting>
  <conditionalFormatting sqref="AS22:AS30">
    <cfRule type="expression" dxfId="56" priority="1">
      <formula>LENB(AS22)&gt;20</formula>
    </cfRule>
  </conditionalFormatting>
  <dataValidations count="14">
    <dataValidation type="list" allowBlank="1" showInputMessage="1" showErrorMessage="1" sqref="N21 V21:Y21 AC21" xr:uid="{00000000-0002-0000-0E00-000000000000}">
      <formula1>#REF!</formula1>
    </dataValidation>
    <dataValidation type="list" allowBlank="1" showInputMessage="1" showErrorMessage="1" sqref="A22:A30 A6:A20" xr:uid="{00000000-0002-0000-0E00-000001000000}">
      <formula1>媒体</formula1>
    </dataValidation>
    <dataValidation type="list" allowBlank="1" showInputMessage="1" showErrorMessage="1" sqref="N22:N30 N6:N20" xr:uid="{00000000-0002-0000-0E00-000002000000}">
      <formula1>構造化スニペットラベル</formula1>
    </dataValidation>
    <dataValidation type="list" allowBlank="1" showInputMessage="1" showErrorMessage="1" sqref="V22:V30 AO22:AO30 V6:V20 AO6:AO20" xr:uid="{00000000-0002-0000-0E00-000003000000}">
      <formula1>広告表示_言語</formula1>
    </dataValidation>
    <dataValidation type="list" allowBlank="1" showInputMessage="1" showErrorMessage="1" sqref="W22:W30 W6:W20" xr:uid="{00000000-0002-0000-0E00-000004000000}">
      <formula1>広告表示_タイプ</formula1>
    </dataValidation>
    <dataValidation type="list" allowBlank="1" showInputMessage="1" showErrorMessage="1" sqref="Y22:Y30 Y6:Y20" xr:uid="{00000000-0002-0000-0E00-000005000000}">
      <formula1>価格修飾子</formula1>
    </dataValidation>
    <dataValidation type="list" allowBlank="1" showInputMessage="1" showErrorMessage="1" sqref="X22:X30 AP22:AP30 X6:X20 AP6:AP20" xr:uid="{00000000-0002-0000-0E00-000006000000}">
      <formula1>通貨</formula1>
    </dataValidation>
    <dataValidation type="list" allowBlank="1" showInputMessage="1" showErrorMessage="1" sqref="AC22:AC30 AC6:AC20" xr:uid="{00000000-0002-0000-0E00-000007000000}">
      <formula1>ユニット</formula1>
    </dataValidation>
    <dataValidation type="list" allowBlank="1" showInputMessage="1" showErrorMessage="1" sqref="AJ22:AJ30 AJ6:AJ20" xr:uid="{00000000-0002-0000-0E00-000008000000}">
      <formula1>OS</formula1>
    </dataValidation>
    <dataValidation type="list" allowBlank="1" showInputMessage="1" showErrorMessage="1" sqref="AM22:AM30 AM6:AM20" xr:uid="{00000000-0002-0000-0E00-000009000000}">
      <formula1>デバイス※SPのみの場合</formula1>
    </dataValidation>
    <dataValidation type="list" allowBlank="1" showInputMessage="1" showErrorMessage="1" sqref="AN22:AN30 AN6:AN20" xr:uid="{00000000-0002-0000-0E00-00000A000000}">
      <formula1>行事</formula1>
    </dataValidation>
    <dataValidation type="list" allowBlank="1" showInputMessage="1" showErrorMessage="1" sqref="AQ22:AQ30 AQ6:AQ20" xr:uid="{00000000-0002-0000-0E00-00000B000000}">
      <formula1>プロモーションの種類</formula1>
    </dataValidation>
    <dataValidation type="list" allowBlank="1" showInputMessage="1" showErrorMessage="1" sqref="AU6:AU20 AU22:AU30" xr:uid="{00000000-0002-0000-0E00-00000C000000}">
      <formula1>プロモーションの詳細</formula1>
    </dataValidation>
    <dataValidation type="list" allowBlank="1" showInputMessage="1" showErrorMessage="1" sqref="B22:B30 B6:B20" xr:uid="{00000000-0002-0000-0E00-00000D000000}">
      <formula1>IF(A6="Google",G_設定粒度,IF(A6="Yahoo!",Y_設定粒度,選択肢なし))</formula1>
    </dataValidation>
  </dataValidations>
  <pageMargins left="0.7" right="0.7" top="0.75" bottom="0.75" header="0.3" footer="0.3"/>
  <pageSetup paperSize="9" scale="11"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5" tint="0.79998168889431442"/>
    <pageSetUpPr fitToPage="1"/>
  </sheetPr>
  <dimension ref="A1:U79"/>
  <sheetViews>
    <sheetView showGridLines="0" view="pageBreakPreview" zoomScale="85" zoomScaleNormal="70" zoomScaleSheetLayoutView="85" workbookViewId="0"/>
  </sheetViews>
  <sheetFormatPr defaultColWidth="8.88671875" defaultRowHeight="19.5" customHeight="1"/>
  <cols>
    <col min="1" max="1" width="10.6640625" style="1" customWidth="1"/>
    <col min="2" max="2" width="32.5546875" style="1" customWidth="1"/>
    <col min="3" max="4" width="30.5546875" style="1" bestFit="1" customWidth="1"/>
    <col min="5" max="7" width="30.77734375" style="1" customWidth="1"/>
    <col min="8" max="8" width="16.21875" style="1" bestFit="1" customWidth="1"/>
    <col min="9" max="9" width="30.77734375" style="1" customWidth="1"/>
    <col min="10" max="11" width="17.77734375" style="2" bestFit="1" customWidth="1"/>
    <col min="12" max="21" width="20.77734375" style="1" customWidth="1"/>
    <col min="22" max="22" width="8.88671875" style="1" customWidth="1"/>
    <col min="23" max="16384" width="8.88671875" style="1"/>
  </cols>
  <sheetData>
    <row r="1" spans="1:11" ht="19.5" customHeight="1">
      <c r="A1" s="114" t="str">
        <f>"Ver."&amp;変更履歴!$B$1</f>
        <v>Ver.10.1</v>
      </c>
    </row>
    <row r="2" spans="1:11" ht="19.5" customHeight="1">
      <c r="A2" s="5" t="s">
        <v>59</v>
      </c>
    </row>
    <row r="4" spans="1:11" ht="19.5" customHeight="1">
      <c r="A4" s="5" t="s">
        <v>325</v>
      </c>
    </row>
    <row r="5" spans="1:11" ht="93" customHeight="1">
      <c r="A5" s="55" t="s">
        <v>18</v>
      </c>
      <c r="B5" s="55" t="s">
        <v>182</v>
      </c>
      <c r="C5" s="55" t="s">
        <v>223</v>
      </c>
      <c r="D5" s="55" t="s">
        <v>224</v>
      </c>
      <c r="E5" s="57" t="s">
        <v>20</v>
      </c>
      <c r="F5" s="57" t="s">
        <v>25</v>
      </c>
      <c r="G5" s="57" t="s">
        <v>23</v>
      </c>
      <c r="H5" s="55" t="s">
        <v>8</v>
      </c>
      <c r="I5" s="55" t="s">
        <v>5</v>
      </c>
      <c r="J5" s="55" t="s">
        <v>408</v>
      </c>
      <c r="K5" s="55" t="s">
        <v>409</v>
      </c>
    </row>
    <row r="6" spans="1:11" ht="19.5" customHeight="1">
      <c r="A6" s="3" t="s">
        <v>186</v>
      </c>
      <c r="B6" s="282"/>
      <c r="C6" s="282"/>
      <c r="D6" s="282"/>
      <c r="E6" s="85"/>
      <c r="F6" s="85"/>
      <c r="G6" s="85"/>
      <c r="H6" s="3" t="s">
        <v>186</v>
      </c>
      <c r="I6" s="3"/>
      <c r="J6" s="96"/>
      <c r="K6" s="96"/>
    </row>
    <row r="7" spans="1:11" ht="19.5" customHeight="1">
      <c r="A7" s="3" t="s">
        <v>186</v>
      </c>
      <c r="B7" s="282"/>
      <c r="C7" s="282"/>
      <c r="D7" s="282"/>
      <c r="E7" s="85"/>
      <c r="F7" s="85"/>
      <c r="G7" s="85"/>
      <c r="H7" s="3" t="s">
        <v>186</v>
      </c>
      <c r="I7" s="3"/>
      <c r="J7" s="96"/>
      <c r="K7" s="96"/>
    </row>
    <row r="8" spans="1:11" ht="19.5" customHeight="1">
      <c r="A8" s="3" t="s">
        <v>186</v>
      </c>
      <c r="B8" s="282"/>
      <c r="C8" s="282"/>
      <c r="D8" s="282"/>
      <c r="E8" s="85"/>
      <c r="F8" s="85"/>
      <c r="G8" s="85"/>
      <c r="H8" s="3" t="s">
        <v>186</v>
      </c>
      <c r="I8" s="3"/>
      <c r="J8" s="96"/>
      <c r="K8" s="96"/>
    </row>
    <row r="9" spans="1:11" ht="19.5" customHeight="1">
      <c r="A9" s="3" t="s">
        <v>186</v>
      </c>
      <c r="B9" s="282"/>
      <c r="C9" s="282"/>
      <c r="D9" s="282"/>
      <c r="E9" s="85"/>
      <c r="F9" s="85"/>
      <c r="G9" s="85"/>
      <c r="H9" s="3" t="s">
        <v>186</v>
      </c>
      <c r="I9" s="3"/>
      <c r="J9" s="96"/>
      <c r="K9" s="96"/>
    </row>
    <row r="10" spans="1:11" ht="19.5" customHeight="1">
      <c r="A10" s="3" t="s">
        <v>186</v>
      </c>
      <c r="B10" s="282"/>
      <c r="C10" s="282"/>
      <c r="D10" s="282"/>
      <c r="E10" s="85"/>
      <c r="F10" s="85"/>
      <c r="G10" s="85"/>
      <c r="H10" s="3" t="s">
        <v>186</v>
      </c>
      <c r="I10" s="3"/>
      <c r="J10" s="96"/>
      <c r="K10" s="96"/>
    </row>
    <row r="11" spans="1:11" ht="19.5" customHeight="1">
      <c r="A11" s="3" t="s">
        <v>186</v>
      </c>
      <c r="B11" s="282"/>
      <c r="C11" s="282"/>
      <c r="D11" s="282"/>
      <c r="E11" s="85"/>
      <c r="F11" s="85"/>
      <c r="G11" s="85"/>
      <c r="H11" s="3" t="s">
        <v>186</v>
      </c>
      <c r="I11" s="3"/>
      <c r="J11" s="96"/>
      <c r="K11" s="96"/>
    </row>
    <row r="12" spans="1:11" ht="19.5" customHeight="1">
      <c r="A12" s="3" t="s">
        <v>186</v>
      </c>
      <c r="B12" s="282"/>
      <c r="C12" s="282"/>
      <c r="D12" s="282"/>
      <c r="E12" s="85"/>
      <c r="F12" s="85"/>
      <c r="G12" s="85"/>
      <c r="H12" s="3" t="s">
        <v>186</v>
      </c>
      <c r="I12" s="3"/>
      <c r="J12" s="96"/>
      <c r="K12" s="96"/>
    </row>
    <row r="13" spans="1:11" ht="19.5" customHeight="1">
      <c r="A13" s="3" t="s">
        <v>186</v>
      </c>
      <c r="B13" s="282"/>
      <c r="C13" s="282"/>
      <c r="D13" s="282"/>
      <c r="E13" s="85"/>
      <c r="F13" s="85"/>
      <c r="G13" s="85"/>
      <c r="H13" s="3" t="s">
        <v>186</v>
      </c>
      <c r="I13" s="3"/>
      <c r="J13" s="96"/>
      <c r="K13" s="96"/>
    </row>
    <row r="14" spans="1:11" ht="19.5" customHeight="1">
      <c r="D14" s="6"/>
    </row>
    <row r="15" spans="1:11" ht="19.5" customHeight="1">
      <c r="A15" s="5" t="s">
        <v>326</v>
      </c>
    </row>
    <row r="16" spans="1:11" ht="81.75" customHeight="1">
      <c r="B16" s="55" t="s">
        <v>183</v>
      </c>
      <c r="C16" s="55" t="s">
        <v>8</v>
      </c>
      <c r="D16" s="55" t="s">
        <v>408</v>
      </c>
      <c r="E16" s="55" t="s">
        <v>409</v>
      </c>
    </row>
    <row r="17" spans="1:5" ht="19.5" customHeight="1">
      <c r="B17" s="3"/>
      <c r="C17" s="3" t="s">
        <v>186</v>
      </c>
      <c r="D17" s="96"/>
      <c r="E17" s="96"/>
    </row>
    <row r="18" spans="1:5" ht="19.5" customHeight="1">
      <c r="B18" s="3"/>
      <c r="C18" s="3" t="s">
        <v>186</v>
      </c>
      <c r="D18" s="96"/>
      <c r="E18" s="96"/>
    </row>
    <row r="19" spans="1:5" ht="19.5" customHeight="1">
      <c r="B19" s="3"/>
      <c r="C19" s="3" t="s">
        <v>186</v>
      </c>
      <c r="D19" s="96"/>
      <c r="E19" s="96"/>
    </row>
    <row r="20" spans="1:5" ht="19.5" customHeight="1">
      <c r="B20" s="3"/>
      <c r="C20" s="3" t="s">
        <v>186</v>
      </c>
      <c r="D20" s="96"/>
      <c r="E20" s="96"/>
    </row>
    <row r="21" spans="1:5" ht="19.5" customHeight="1">
      <c r="B21" s="3"/>
      <c r="C21" s="3" t="s">
        <v>186</v>
      </c>
      <c r="D21" s="96"/>
      <c r="E21" s="96"/>
    </row>
    <row r="22" spans="1:5" ht="19.5" customHeight="1">
      <c r="B22" s="3"/>
      <c r="C22" s="3" t="s">
        <v>186</v>
      </c>
      <c r="D22" s="96"/>
      <c r="E22" s="96"/>
    </row>
    <row r="23" spans="1:5" ht="19.5" customHeight="1">
      <c r="B23" s="3"/>
      <c r="C23" s="3" t="s">
        <v>186</v>
      </c>
      <c r="D23" s="96"/>
      <c r="E23" s="96"/>
    </row>
    <row r="24" spans="1:5" ht="19.5" customHeight="1">
      <c r="B24" s="3"/>
      <c r="C24" s="3" t="s">
        <v>186</v>
      </c>
      <c r="D24" s="96"/>
      <c r="E24" s="96"/>
    </row>
    <row r="26" spans="1:5" ht="19.5" customHeight="1">
      <c r="A26" s="5" t="s">
        <v>581</v>
      </c>
    </row>
    <row r="27" spans="1:5" ht="30">
      <c r="A27" s="55" t="s">
        <v>47</v>
      </c>
      <c r="B27" s="55" t="s">
        <v>46</v>
      </c>
      <c r="C27" s="55" t="s">
        <v>8</v>
      </c>
      <c r="D27" s="55" t="s">
        <v>408</v>
      </c>
      <c r="E27" s="55" t="s">
        <v>409</v>
      </c>
    </row>
    <row r="28" spans="1:5" ht="19.5" customHeight="1">
      <c r="A28" s="3" t="s">
        <v>186</v>
      </c>
      <c r="B28" s="3"/>
      <c r="C28" s="3" t="s">
        <v>186</v>
      </c>
      <c r="D28" s="96"/>
      <c r="E28" s="96"/>
    </row>
    <row r="29" spans="1:5" ht="19.5" customHeight="1">
      <c r="A29" s="3" t="s">
        <v>186</v>
      </c>
      <c r="B29" s="3"/>
      <c r="C29" s="3" t="s">
        <v>186</v>
      </c>
      <c r="D29" s="96"/>
      <c r="E29" s="96"/>
    </row>
    <row r="30" spans="1:5" ht="19.5" customHeight="1">
      <c r="A30" s="3" t="s">
        <v>186</v>
      </c>
      <c r="B30" s="3"/>
      <c r="C30" s="3" t="s">
        <v>186</v>
      </c>
      <c r="D30" s="96"/>
      <c r="E30" s="96"/>
    </row>
    <row r="31" spans="1:5" ht="19.5" customHeight="1">
      <c r="A31" s="3" t="s">
        <v>186</v>
      </c>
      <c r="B31" s="3"/>
      <c r="C31" s="3" t="s">
        <v>186</v>
      </c>
      <c r="D31" s="96"/>
      <c r="E31" s="96"/>
    </row>
    <row r="32" spans="1:5" ht="19.5" customHeight="1">
      <c r="A32" s="3" t="s">
        <v>186</v>
      </c>
      <c r="B32" s="3"/>
      <c r="C32" s="3" t="s">
        <v>186</v>
      </c>
      <c r="D32" s="96"/>
      <c r="E32" s="96"/>
    </row>
    <row r="33" spans="1:14" ht="19.5" customHeight="1">
      <c r="A33" s="3" t="s">
        <v>186</v>
      </c>
      <c r="B33" s="3"/>
      <c r="C33" s="3" t="s">
        <v>186</v>
      </c>
      <c r="D33" s="96"/>
      <c r="E33" s="96"/>
    </row>
    <row r="34" spans="1:14" ht="19.5" customHeight="1">
      <c r="A34" s="3" t="s">
        <v>186</v>
      </c>
      <c r="B34" s="3"/>
      <c r="C34" s="3" t="s">
        <v>186</v>
      </c>
      <c r="D34" s="96"/>
      <c r="E34" s="96"/>
    </row>
    <row r="35" spans="1:14" ht="19.5" customHeight="1">
      <c r="A35" s="3" t="s">
        <v>186</v>
      </c>
      <c r="B35" s="3"/>
      <c r="C35" s="3" t="s">
        <v>186</v>
      </c>
      <c r="D35" s="96"/>
      <c r="E35" s="96"/>
    </row>
    <row r="36" spans="1:14" ht="19.5" customHeight="1">
      <c r="B36" s="2"/>
      <c r="C36" s="2"/>
    </row>
    <row r="37" spans="1:14" ht="19.5" customHeight="1">
      <c r="A37" s="5" t="s">
        <v>52</v>
      </c>
    </row>
    <row r="38" spans="1:14" ht="30.75" customHeight="1">
      <c r="A38" s="55" t="s">
        <v>53</v>
      </c>
      <c r="B38" s="55" t="s">
        <v>572</v>
      </c>
      <c r="C38" s="55" t="s">
        <v>8</v>
      </c>
      <c r="D38" s="55" t="s">
        <v>408</v>
      </c>
      <c r="E38" s="55" t="s">
        <v>409</v>
      </c>
      <c r="I38" s="2"/>
      <c r="K38" s="1"/>
    </row>
    <row r="39" spans="1:14" ht="19.5" customHeight="1">
      <c r="A39" s="3"/>
      <c r="B39" s="3" t="s">
        <v>186</v>
      </c>
      <c r="C39" s="3" t="s">
        <v>186</v>
      </c>
      <c r="D39" s="96"/>
      <c r="E39" s="96"/>
      <c r="I39" s="2"/>
      <c r="K39" s="1"/>
    </row>
    <row r="40" spans="1:14" ht="19.5" customHeight="1">
      <c r="A40" s="3"/>
      <c r="B40" s="3" t="s">
        <v>186</v>
      </c>
      <c r="C40" s="3" t="s">
        <v>186</v>
      </c>
      <c r="D40" s="96"/>
      <c r="E40" s="96"/>
      <c r="I40" s="2"/>
      <c r="K40" s="1"/>
    </row>
    <row r="41" spans="1:14" ht="19.5" customHeight="1">
      <c r="A41" s="3"/>
      <c r="B41" s="3" t="s">
        <v>186</v>
      </c>
      <c r="C41" s="3" t="s">
        <v>186</v>
      </c>
      <c r="D41" s="96"/>
      <c r="E41" s="96"/>
      <c r="I41" s="2"/>
      <c r="K41" s="1"/>
    </row>
    <row r="42" spans="1:14" ht="19.5" customHeight="1">
      <c r="A42" s="3"/>
      <c r="B42" s="3" t="s">
        <v>186</v>
      </c>
      <c r="C42" s="3" t="s">
        <v>186</v>
      </c>
      <c r="D42" s="96"/>
      <c r="E42" s="96"/>
      <c r="I42" s="2"/>
      <c r="K42" s="1"/>
    </row>
    <row r="44" spans="1:14" ht="19.5" customHeight="1">
      <c r="A44" s="5" t="s">
        <v>260</v>
      </c>
    </row>
    <row r="45" spans="1:14" ht="30.75" customHeight="1">
      <c r="B45" s="55" t="s">
        <v>261</v>
      </c>
      <c r="C45" s="55" t="s">
        <v>262</v>
      </c>
      <c r="D45" s="55" t="s">
        <v>263</v>
      </c>
      <c r="E45" s="55" t="s">
        <v>264</v>
      </c>
      <c r="F45" s="55" t="s">
        <v>665</v>
      </c>
      <c r="G45" s="55" t="s">
        <v>666</v>
      </c>
      <c r="H45" s="55" t="s">
        <v>265</v>
      </c>
      <c r="I45" s="55" t="s">
        <v>266</v>
      </c>
      <c r="J45" s="55" t="s">
        <v>267</v>
      </c>
      <c r="K45" s="55" t="s">
        <v>25</v>
      </c>
      <c r="L45" s="55" t="s">
        <v>8</v>
      </c>
      <c r="M45" s="55" t="s">
        <v>408</v>
      </c>
      <c r="N45" s="55" t="s">
        <v>409</v>
      </c>
    </row>
    <row r="46" spans="1:14" ht="19.5" customHeight="1">
      <c r="B46" s="3" t="s">
        <v>186</v>
      </c>
      <c r="C46" s="3" t="s">
        <v>186</v>
      </c>
      <c r="D46" s="3" t="s">
        <v>186</v>
      </c>
      <c r="E46" s="3" t="s">
        <v>186</v>
      </c>
      <c r="F46" s="3"/>
      <c r="G46" s="3"/>
      <c r="H46" s="3"/>
      <c r="I46" s="3" t="s">
        <v>186</v>
      </c>
      <c r="J46" s="3"/>
      <c r="K46" s="3"/>
      <c r="L46" s="3" t="s">
        <v>186</v>
      </c>
      <c r="M46" s="96"/>
      <c r="N46" s="96"/>
    </row>
    <row r="47" spans="1:14" ht="19.5" customHeight="1">
      <c r="B47" s="3" t="s">
        <v>186</v>
      </c>
      <c r="C47" s="3" t="s">
        <v>186</v>
      </c>
      <c r="D47" s="3" t="s">
        <v>186</v>
      </c>
      <c r="E47" s="3" t="s">
        <v>186</v>
      </c>
      <c r="F47" s="3"/>
      <c r="G47" s="3"/>
      <c r="H47" s="3"/>
      <c r="I47" s="3" t="s">
        <v>186</v>
      </c>
      <c r="J47" s="3"/>
      <c r="K47" s="3"/>
      <c r="L47" s="3" t="s">
        <v>186</v>
      </c>
      <c r="M47" s="96"/>
      <c r="N47" s="96"/>
    </row>
    <row r="48" spans="1:14" ht="19.5" customHeight="1">
      <c r="B48" s="3" t="s">
        <v>186</v>
      </c>
      <c r="C48" s="3" t="s">
        <v>186</v>
      </c>
      <c r="D48" s="3" t="s">
        <v>186</v>
      </c>
      <c r="E48" s="3" t="s">
        <v>186</v>
      </c>
      <c r="F48" s="3"/>
      <c r="G48" s="3"/>
      <c r="H48" s="3"/>
      <c r="I48" s="3" t="s">
        <v>186</v>
      </c>
      <c r="J48" s="3"/>
      <c r="K48" s="3"/>
      <c r="L48" s="3" t="s">
        <v>186</v>
      </c>
      <c r="M48" s="96"/>
      <c r="N48" s="96"/>
    </row>
    <row r="49" spans="1:14" ht="19.5" customHeight="1">
      <c r="B49" s="3" t="s">
        <v>186</v>
      </c>
      <c r="C49" s="3" t="s">
        <v>186</v>
      </c>
      <c r="D49" s="3" t="s">
        <v>186</v>
      </c>
      <c r="E49" s="3" t="s">
        <v>186</v>
      </c>
      <c r="F49" s="3"/>
      <c r="G49" s="3"/>
      <c r="H49" s="3"/>
      <c r="I49" s="3" t="s">
        <v>186</v>
      </c>
      <c r="J49" s="3"/>
      <c r="K49" s="3"/>
      <c r="L49" s="3" t="s">
        <v>186</v>
      </c>
      <c r="M49" s="96"/>
      <c r="N49" s="96"/>
    </row>
    <row r="50" spans="1:14" ht="19.5" customHeight="1">
      <c r="B50" s="6"/>
      <c r="C50" s="6"/>
      <c r="D50" s="6"/>
      <c r="E50" s="6"/>
      <c r="F50" s="6"/>
      <c r="G50" s="6"/>
      <c r="H50" s="6"/>
      <c r="I50" s="6"/>
      <c r="J50" s="6"/>
      <c r="K50" s="6"/>
      <c r="L50" s="6"/>
      <c r="M50" s="99"/>
      <c r="N50" s="99"/>
    </row>
    <row r="51" spans="1:14" ht="19.5" customHeight="1">
      <c r="A51" s="5" t="s">
        <v>452</v>
      </c>
    </row>
    <row r="52" spans="1:14" ht="30.75" customHeight="1">
      <c r="A52" s="55" t="s">
        <v>453</v>
      </c>
      <c r="B52" s="55" t="s">
        <v>454</v>
      </c>
      <c r="C52" s="55" t="s">
        <v>455</v>
      </c>
      <c r="D52" s="55" t="s">
        <v>456</v>
      </c>
      <c r="E52" s="55" t="s">
        <v>8</v>
      </c>
      <c r="F52" s="55" t="s">
        <v>408</v>
      </c>
      <c r="G52" s="55" t="s">
        <v>409</v>
      </c>
      <c r="J52" s="1"/>
      <c r="L52" s="2"/>
    </row>
    <row r="53" spans="1:14" ht="19.5" customHeight="1">
      <c r="A53" s="3"/>
      <c r="B53" s="3"/>
      <c r="C53" s="3"/>
      <c r="D53" s="3"/>
      <c r="E53" s="3" t="s">
        <v>186</v>
      </c>
      <c r="F53" s="96"/>
      <c r="G53" s="96"/>
      <c r="J53" s="1"/>
      <c r="L53" s="2"/>
    </row>
    <row r="54" spans="1:14" ht="19.5" customHeight="1">
      <c r="A54" s="3"/>
      <c r="B54" s="3"/>
      <c r="C54" s="3"/>
      <c r="D54" s="3"/>
      <c r="E54" s="3" t="s">
        <v>186</v>
      </c>
      <c r="F54" s="96"/>
      <c r="G54" s="96"/>
      <c r="J54" s="1"/>
      <c r="L54" s="2"/>
    </row>
    <row r="55" spans="1:14" ht="19.5" customHeight="1">
      <c r="A55" s="3"/>
      <c r="B55" s="3"/>
      <c r="C55" s="3"/>
      <c r="D55" s="3"/>
      <c r="E55" s="3" t="s">
        <v>186</v>
      </c>
      <c r="F55" s="96"/>
      <c r="G55" s="96"/>
      <c r="J55" s="1"/>
      <c r="L55" s="2"/>
    </row>
    <row r="56" spans="1:14" ht="19.5" customHeight="1">
      <c r="A56" s="3"/>
      <c r="B56" s="3"/>
      <c r="C56" s="3"/>
      <c r="D56" s="3"/>
      <c r="E56" s="3" t="s">
        <v>186</v>
      </c>
      <c r="F56" s="96"/>
      <c r="G56" s="96"/>
      <c r="J56" s="1"/>
      <c r="L56" s="2"/>
    </row>
    <row r="58" spans="1:14" ht="19.5" customHeight="1">
      <c r="A58" s="5" t="s">
        <v>457</v>
      </c>
    </row>
    <row r="59" spans="1:14" ht="30.75" customHeight="1">
      <c r="B59" s="55" t="s">
        <v>458</v>
      </c>
      <c r="F59" s="2"/>
      <c r="G59" s="2"/>
      <c r="J59" s="1"/>
      <c r="K59" s="1"/>
    </row>
    <row r="60" spans="1:14" ht="19.5" customHeight="1">
      <c r="B60" s="3"/>
      <c r="F60" s="2"/>
      <c r="G60" s="2"/>
      <c r="J60" s="1"/>
      <c r="K60" s="1"/>
    </row>
    <row r="61" spans="1:14" ht="19.5" customHeight="1">
      <c r="A61" s="6"/>
      <c r="B61" s="6"/>
      <c r="C61" s="6"/>
      <c r="D61" s="6"/>
      <c r="E61" s="99"/>
      <c r="F61" s="99"/>
      <c r="G61" s="99"/>
      <c r="H61" s="99"/>
      <c r="J61" s="1"/>
      <c r="K61" s="1"/>
      <c r="L61" s="2"/>
      <c r="M61" s="2"/>
    </row>
    <row r="62" spans="1:14" ht="19.5" customHeight="1">
      <c r="A62" s="5" t="s">
        <v>459</v>
      </c>
    </row>
    <row r="63" spans="1:14" ht="30.75" customHeight="1">
      <c r="A63" s="55" t="s">
        <v>460</v>
      </c>
      <c r="B63" s="55" t="s">
        <v>461</v>
      </c>
      <c r="C63" s="55" t="s">
        <v>462</v>
      </c>
      <c r="D63" s="55" t="s">
        <v>476</v>
      </c>
      <c r="E63" s="55" t="s">
        <v>8</v>
      </c>
      <c r="F63" s="55" t="s">
        <v>408</v>
      </c>
      <c r="G63" s="55" t="s">
        <v>409</v>
      </c>
      <c r="J63" s="1"/>
      <c r="L63" s="2"/>
    </row>
    <row r="64" spans="1:14" ht="19.5" customHeight="1">
      <c r="A64" s="3" t="s">
        <v>186</v>
      </c>
      <c r="B64" s="3"/>
      <c r="C64" s="3"/>
      <c r="D64" s="3" t="s">
        <v>186</v>
      </c>
      <c r="E64" s="3" t="s">
        <v>186</v>
      </c>
      <c r="F64" s="96"/>
      <c r="G64" s="96"/>
      <c r="J64" s="1"/>
      <c r="L64" s="2"/>
    </row>
    <row r="65" spans="1:21" ht="19.5" customHeight="1">
      <c r="A65" s="3" t="s">
        <v>186</v>
      </c>
      <c r="B65" s="3"/>
      <c r="C65" s="3"/>
      <c r="D65" s="3" t="s">
        <v>186</v>
      </c>
      <c r="E65" s="3" t="s">
        <v>186</v>
      </c>
      <c r="F65" s="96"/>
      <c r="G65" s="96"/>
      <c r="J65" s="1"/>
      <c r="L65" s="2"/>
    </row>
    <row r="66" spans="1:21" ht="19.5" customHeight="1">
      <c r="A66" s="3" t="s">
        <v>186</v>
      </c>
      <c r="B66" s="3"/>
      <c r="C66" s="3"/>
      <c r="D66" s="3" t="s">
        <v>186</v>
      </c>
      <c r="E66" s="3" t="s">
        <v>186</v>
      </c>
      <c r="F66" s="96"/>
      <c r="G66" s="96"/>
      <c r="J66" s="1"/>
      <c r="L66" s="2"/>
    </row>
    <row r="67" spans="1:21" ht="19.5" customHeight="1">
      <c r="A67" s="3" t="s">
        <v>186</v>
      </c>
      <c r="B67" s="3"/>
      <c r="C67" s="3"/>
      <c r="D67" s="3" t="s">
        <v>186</v>
      </c>
      <c r="E67" s="3" t="s">
        <v>186</v>
      </c>
      <c r="F67" s="96"/>
      <c r="G67" s="96"/>
      <c r="J67" s="1"/>
      <c r="L67" s="2"/>
    </row>
    <row r="68" spans="1:21" ht="19.5" customHeight="1">
      <c r="A68" s="6"/>
      <c r="B68" s="6"/>
      <c r="C68" s="6"/>
      <c r="D68" s="6"/>
      <c r="E68" s="99"/>
      <c r="F68" s="99"/>
      <c r="G68" s="99"/>
      <c r="H68" s="99"/>
      <c r="J68" s="1"/>
      <c r="K68" s="1"/>
      <c r="L68" s="2"/>
      <c r="M68" s="2"/>
    </row>
    <row r="69" spans="1:21" ht="19.5" customHeight="1">
      <c r="A69" s="5" t="s">
        <v>463</v>
      </c>
    </row>
    <row r="70" spans="1:21" ht="30.75" customHeight="1">
      <c r="A70" s="55" t="s">
        <v>464</v>
      </c>
      <c r="B70" s="55" t="s">
        <v>465</v>
      </c>
      <c r="C70" s="55" t="s">
        <v>263</v>
      </c>
      <c r="D70" s="55" t="s">
        <v>466</v>
      </c>
      <c r="E70" s="55" t="s">
        <v>467</v>
      </c>
      <c r="F70" s="55" t="s">
        <v>638</v>
      </c>
      <c r="G70" s="55" t="s">
        <v>468</v>
      </c>
      <c r="H70" s="55" t="s">
        <v>469</v>
      </c>
      <c r="I70" s="55" t="s">
        <v>470</v>
      </c>
      <c r="J70" s="55" t="s">
        <v>471</v>
      </c>
      <c r="K70" s="55" t="s">
        <v>472</v>
      </c>
      <c r="L70" s="55" t="s">
        <v>8</v>
      </c>
      <c r="M70" s="55" t="s">
        <v>408</v>
      </c>
      <c r="N70" s="55" t="s">
        <v>409</v>
      </c>
      <c r="R70" s="2"/>
      <c r="S70" s="2"/>
    </row>
    <row r="71" spans="1:21" ht="19.5" customHeight="1">
      <c r="A71" s="3" t="s">
        <v>186</v>
      </c>
      <c r="B71" s="3" t="s">
        <v>186</v>
      </c>
      <c r="C71" s="3" t="s">
        <v>186</v>
      </c>
      <c r="D71" s="3" t="s">
        <v>186</v>
      </c>
      <c r="E71" s="3"/>
      <c r="F71" s="3"/>
      <c r="G71" s="3"/>
      <c r="H71" s="96" t="s">
        <v>186</v>
      </c>
      <c r="I71" s="3"/>
      <c r="J71" s="96"/>
      <c r="K71" s="96"/>
      <c r="L71" s="3" t="s">
        <v>1765</v>
      </c>
      <c r="M71" s="96"/>
      <c r="N71" s="96"/>
      <c r="R71" s="2"/>
      <c r="S71" s="2"/>
    </row>
    <row r="72" spans="1:21" ht="19.5" customHeight="1">
      <c r="A72" s="3" t="s">
        <v>186</v>
      </c>
      <c r="B72" s="3" t="s">
        <v>186</v>
      </c>
      <c r="C72" s="3" t="s">
        <v>186</v>
      </c>
      <c r="D72" s="3" t="s">
        <v>186</v>
      </c>
      <c r="E72" s="3"/>
      <c r="F72" s="3"/>
      <c r="G72" s="3"/>
      <c r="H72" s="96" t="s">
        <v>186</v>
      </c>
      <c r="I72" s="3"/>
      <c r="J72" s="96"/>
      <c r="K72" s="96"/>
      <c r="L72" s="3" t="s">
        <v>1765</v>
      </c>
      <c r="M72" s="96"/>
      <c r="N72" s="96"/>
      <c r="R72" s="2"/>
      <c r="S72" s="2"/>
    </row>
    <row r="73" spans="1:21" ht="19.5" customHeight="1">
      <c r="A73" s="3" t="s">
        <v>186</v>
      </c>
      <c r="B73" s="3" t="s">
        <v>186</v>
      </c>
      <c r="C73" s="3" t="s">
        <v>186</v>
      </c>
      <c r="D73" s="3" t="s">
        <v>186</v>
      </c>
      <c r="E73" s="3"/>
      <c r="F73" s="3"/>
      <c r="G73" s="3"/>
      <c r="H73" s="96" t="s">
        <v>186</v>
      </c>
      <c r="I73" s="3"/>
      <c r="J73" s="96"/>
      <c r="K73" s="96"/>
      <c r="L73" s="3" t="s">
        <v>1765</v>
      </c>
      <c r="M73" s="96"/>
      <c r="N73" s="96"/>
      <c r="R73" s="2"/>
      <c r="S73" s="2"/>
    </row>
    <row r="74" spans="1:21" ht="19.5" customHeight="1">
      <c r="A74" s="3" t="s">
        <v>186</v>
      </c>
      <c r="B74" s="3" t="s">
        <v>186</v>
      </c>
      <c r="C74" s="3" t="s">
        <v>186</v>
      </c>
      <c r="D74" s="3" t="s">
        <v>186</v>
      </c>
      <c r="E74" s="3"/>
      <c r="F74" s="3"/>
      <c r="G74" s="3"/>
      <c r="H74" s="96" t="s">
        <v>186</v>
      </c>
      <c r="I74" s="3"/>
      <c r="J74" s="96"/>
      <c r="K74" s="96"/>
      <c r="L74" s="3" t="s">
        <v>1765</v>
      </c>
      <c r="M74" s="96"/>
      <c r="N74" s="96"/>
      <c r="R74" s="2"/>
      <c r="S74" s="2"/>
    </row>
    <row r="76" spans="1:21" ht="19.5" customHeight="1">
      <c r="A76" s="5" t="s">
        <v>639</v>
      </c>
    </row>
    <row r="77" spans="1:21" ht="30.75" customHeight="1">
      <c r="A77" s="55" t="s">
        <v>660</v>
      </c>
      <c r="B77" s="55" t="s">
        <v>640</v>
      </c>
      <c r="C77" s="55" t="s">
        <v>641</v>
      </c>
      <c r="D77" s="55" t="s">
        <v>642</v>
      </c>
      <c r="E77" s="55" t="s">
        <v>643</v>
      </c>
      <c r="F77" s="55" t="s">
        <v>644</v>
      </c>
      <c r="G77" s="55" t="s">
        <v>645</v>
      </c>
      <c r="H77" s="55" t="s">
        <v>646</v>
      </c>
      <c r="I77" s="55" t="s">
        <v>647</v>
      </c>
      <c r="J77" s="55" t="s">
        <v>648</v>
      </c>
      <c r="K77" s="55" t="s">
        <v>649</v>
      </c>
      <c r="L77" s="55" t="s">
        <v>650</v>
      </c>
      <c r="M77" s="55" t="s">
        <v>651</v>
      </c>
      <c r="N77" s="55" t="s">
        <v>652</v>
      </c>
      <c r="O77" s="55" t="s">
        <v>653</v>
      </c>
      <c r="P77" s="55" t="s">
        <v>654</v>
      </c>
      <c r="Q77" s="55" t="s">
        <v>655</v>
      </c>
      <c r="R77" s="55" t="s">
        <v>656</v>
      </c>
      <c r="S77" s="55" t="s">
        <v>657</v>
      </c>
      <c r="T77" s="55" t="s">
        <v>658</v>
      </c>
      <c r="U77" s="55" t="s">
        <v>659</v>
      </c>
    </row>
    <row r="78" spans="1:21" ht="19.5" customHeight="1">
      <c r="A78" s="3" t="s">
        <v>662</v>
      </c>
      <c r="B78" s="3"/>
      <c r="C78" s="3"/>
      <c r="D78" s="3"/>
      <c r="E78" s="3"/>
      <c r="F78" s="3"/>
      <c r="G78" s="3"/>
      <c r="H78" s="3"/>
      <c r="I78" s="3"/>
      <c r="J78" s="3"/>
      <c r="K78" s="3"/>
      <c r="L78" s="3"/>
      <c r="M78" s="3"/>
      <c r="N78" s="3"/>
      <c r="O78" s="3"/>
      <c r="P78" s="3"/>
      <c r="Q78" s="3"/>
      <c r="R78" s="3"/>
      <c r="S78" s="3"/>
      <c r="T78" s="3"/>
      <c r="U78" s="3"/>
    </row>
    <row r="79" spans="1:21" ht="19.5" customHeight="1">
      <c r="A79" s="6"/>
      <c r="B79" s="6"/>
      <c r="C79" s="6"/>
      <c r="D79" s="6"/>
      <c r="E79" s="99"/>
      <c r="F79" s="99"/>
      <c r="G79" s="99"/>
      <c r="H79" s="99"/>
      <c r="J79" s="1"/>
      <c r="K79" s="1"/>
      <c r="L79" s="2"/>
      <c r="M79" s="2"/>
    </row>
  </sheetData>
  <phoneticPr fontId="0"/>
  <conditionalFormatting sqref="B17:B24">
    <cfRule type="expression" dxfId="55" priority="9">
      <formula>LENB(B17)&gt;25</formula>
    </cfRule>
  </conditionalFormatting>
  <conditionalFormatting sqref="B28:B35">
    <cfRule type="expression" dxfId="54" priority="10">
      <formula>LENB(B28)&gt;25</formula>
    </cfRule>
  </conditionalFormatting>
  <conditionalFormatting sqref="B6:B13">
    <cfRule type="expression" dxfId="53" priority="6">
      <formula>LENB(B6)&gt;25</formula>
    </cfRule>
  </conditionalFormatting>
  <conditionalFormatting sqref="C6:D13">
    <cfRule type="expression" dxfId="52" priority="1">
      <formula>LENB(C6)&gt;35</formula>
    </cfRule>
    <cfRule type="expression" dxfId="51" priority="7">
      <formula>$A6="Yahoo!"</formula>
    </cfRule>
  </conditionalFormatting>
  <conditionalFormatting sqref="D53:D56">
    <cfRule type="expression" dxfId="50" priority="20">
      <formula>LENB(D53)&gt;100</formula>
    </cfRule>
  </conditionalFormatting>
  <conditionalFormatting sqref="C53:C56">
    <cfRule type="expression" dxfId="49" priority="12">
      <formula>LENB(C53)&gt;25</formula>
    </cfRule>
  </conditionalFormatting>
  <conditionalFormatting sqref="B53:B56">
    <cfRule type="expression" dxfId="48" priority="11">
      <formula>LENB(B53)&gt;35</formula>
    </cfRule>
  </conditionalFormatting>
  <conditionalFormatting sqref="C64:C67">
    <cfRule type="expression" dxfId="47" priority="5">
      <formula>LENB(C64)&gt;25</formula>
    </cfRule>
  </conditionalFormatting>
  <conditionalFormatting sqref="F71:F74">
    <cfRule type="expression" dxfId="46" priority="4">
      <formula>LENB(F71)&gt;20</formula>
    </cfRule>
  </conditionalFormatting>
  <conditionalFormatting sqref="C78">
    <cfRule type="expression" dxfId="45" priority="3">
      <formula>LENB(C78)&gt;25</formula>
    </cfRule>
  </conditionalFormatting>
  <conditionalFormatting sqref="F46:G49">
    <cfRule type="expression" dxfId="44" priority="2">
      <formula>LENB(F46)&gt;25</formula>
    </cfRule>
  </conditionalFormatting>
  <dataValidations count="15">
    <dataValidation type="list" allowBlank="1" showInputMessage="1" showErrorMessage="1" sqref="E43" xr:uid="{00000000-0002-0000-0F00-000000000000}">
      <formula1>#REF!</formula1>
    </dataValidation>
    <dataValidation type="list" allowBlank="1" showInputMessage="1" showErrorMessage="1" sqref="A78" xr:uid="{00000000-0002-0000-0F00-000001000000}">
      <formula1>小売チェーン</formula1>
    </dataValidation>
    <dataValidation type="list" allowBlank="1" showInputMessage="1" showErrorMessage="1" sqref="A6:A13" xr:uid="{00000000-0002-0000-0F00-000002000000}">
      <formula1>媒体</formula1>
    </dataValidation>
    <dataValidation type="list" allowBlank="1" showInputMessage="1" showErrorMessage="1" sqref="A28:A35" xr:uid="{00000000-0002-0000-0F00-000003000000}">
      <formula1>構造化スニペットラベル</formula1>
    </dataValidation>
    <dataValidation type="list" allowBlank="1" showInputMessage="1" showErrorMessage="1" sqref="A64:A67" xr:uid="{00000000-0002-0000-0F00-000004000000}">
      <formula1>OS</formula1>
    </dataValidation>
    <dataValidation type="list" allowBlank="1" showInputMessage="1" showErrorMessage="1" sqref="A71:A74" xr:uid="{00000000-0002-0000-0F00-000005000000}">
      <formula1>行事</formula1>
    </dataValidation>
    <dataValidation type="list" allowBlank="1" showInputMessage="1" showErrorMessage="1" sqref="B39:B42 D64:D67" xr:uid="{00000000-0002-0000-0F00-000006000000}">
      <formula1>デバイス※SPのみの場合</formula1>
    </dataValidation>
    <dataValidation type="list" allowBlank="1" showInputMessage="1" showErrorMessage="1" sqref="B46:B49 B71:B74" xr:uid="{00000000-0002-0000-0F00-000007000000}">
      <formula1>広告表示_言語</formula1>
    </dataValidation>
    <dataValidation type="list" allowBlank="1" showInputMessage="1" showErrorMessage="1" sqref="C17:C24 C28:C35 C39:C42 E53:E56 E64:E67 L46:L49 L71:L74" xr:uid="{00000000-0002-0000-0F00-000008000000}">
      <formula1>G_設定粒度</formula1>
    </dataValidation>
    <dataValidation type="list" allowBlank="1" showInputMessage="1" showErrorMessage="1" sqref="C46:C49" xr:uid="{00000000-0002-0000-0F00-000009000000}">
      <formula1>広告表示_タイプ</formula1>
    </dataValidation>
    <dataValidation type="list" allowBlank="1" showInputMessage="1" showErrorMessage="1" sqref="D46:D49 C71:C74" xr:uid="{00000000-0002-0000-0F00-00000A000000}">
      <formula1>通貨</formula1>
    </dataValidation>
    <dataValidation type="list" allowBlank="1" showInputMessage="1" showErrorMessage="1" sqref="E46:E49" xr:uid="{00000000-0002-0000-0F00-00000B000000}">
      <formula1>価格修飾子</formula1>
    </dataValidation>
    <dataValidation type="list" allowBlank="1" showInputMessage="1" showErrorMessage="1" sqref="I46:I49" xr:uid="{00000000-0002-0000-0F00-00000C000000}">
      <formula1>ユニット</formula1>
    </dataValidation>
    <dataValidation type="list" allowBlank="1" showInputMessage="1" showErrorMessage="1" sqref="D71:D74" xr:uid="{00000000-0002-0000-0F00-00000D000000}">
      <formula1>プロモーションの種類</formula1>
    </dataValidation>
    <dataValidation type="list" allowBlank="1" showInputMessage="1" showErrorMessage="1" sqref="H71:H74" xr:uid="{00000000-0002-0000-0F00-00000E000000}">
      <formula1>プロモーションの詳細</formula1>
    </dataValidation>
  </dataValidations>
  <pageMargins left="0.7" right="0.7" top="0.75" bottom="0.75" header="0.3" footer="0.3"/>
  <pageSetup paperSize="9" scale="22"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F000000}">
          <x14:formula1>
            <xm:f>IF($A6="Google",G_設定粒度,IF($A6="Yahoo!",Y_設定粒度,入力規則!$AJ$4))</xm:f>
          </x14:formula1>
          <xm:sqref>H6:H13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5" tint="0.79998168889431442"/>
    <outlinePr summaryRight="0"/>
    <pageSetUpPr fitToPage="1"/>
  </sheetPr>
  <dimension ref="A1:DZ35"/>
  <sheetViews>
    <sheetView showGridLines="0" view="pageBreakPreview" zoomScale="85" zoomScaleNormal="55" zoomScaleSheetLayoutView="85" workbookViewId="0">
      <pane ySplit="7" topLeftCell="A8" activePane="bottomLeft" state="frozen"/>
      <selection pane="bottomLeft"/>
    </sheetView>
  </sheetViews>
  <sheetFormatPr defaultColWidth="8.88671875" defaultRowHeight="19.5" customHeight="1" outlineLevelCol="1"/>
  <cols>
    <col min="1" max="1" width="10.21875" style="59" customWidth="1"/>
    <col min="2" max="2" width="14" style="59" customWidth="1"/>
    <col min="3" max="3" width="31.44140625" style="59" customWidth="1"/>
    <col min="4" max="5" width="26.109375" style="59" customWidth="1"/>
    <col min="6" max="6" width="21" style="59" customWidth="1"/>
    <col min="7" max="7" width="11.6640625" style="59" customWidth="1"/>
    <col min="8" max="8" width="21.88671875" style="59" customWidth="1"/>
    <col min="9" max="9" width="25.88671875" style="59" customWidth="1"/>
    <col min="10" max="10" width="7.88671875" style="59" customWidth="1"/>
    <col min="11" max="11" width="12.77734375" style="59" customWidth="1"/>
    <col min="12" max="12" width="12.6640625" style="59" customWidth="1"/>
    <col min="13" max="13" width="34.77734375" style="59" customWidth="1"/>
    <col min="14" max="14" width="3.6640625" style="59" customWidth="1" collapsed="1"/>
    <col min="15" max="15" width="12.77734375" style="59" hidden="1" customWidth="1" outlineLevel="1"/>
    <col min="16" max="16" width="12.6640625" style="59" hidden="1" customWidth="1" outlineLevel="1"/>
    <col min="17" max="17" width="34.77734375" style="59" hidden="1" customWidth="1" outlineLevel="1"/>
    <col min="18" max="18" width="3.6640625" style="59" customWidth="1" collapsed="1"/>
    <col min="19" max="19" width="12.77734375" style="59" hidden="1" customWidth="1" outlineLevel="1"/>
    <col min="20" max="20" width="12.6640625" style="59" hidden="1" customWidth="1" outlineLevel="1"/>
    <col min="21" max="21" width="34.77734375" style="59" hidden="1" customWidth="1" outlineLevel="1"/>
    <col min="22" max="22" width="3.6640625" style="59" customWidth="1" collapsed="1"/>
    <col min="23" max="23" width="12.77734375" style="59" hidden="1" customWidth="1" outlineLevel="1"/>
    <col min="24" max="24" width="12.6640625" style="59" hidden="1" customWidth="1" outlineLevel="1"/>
    <col min="25" max="25" width="34.77734375" style="59" hidden="1" customWidth="1" outlineLevel="1"/>
    <col min="26" max="26" width="3.6640625" style="59" customWidth="1" collapsed="1"/>
    <col min="27" max="27" width="12.77734375" style="59" hidden="1" customWidth="1" outlineLevel="1"/>
    <col min="28" max="28" width="12.6640625" style="59" hidden="1" customWidth="1" outlineLevel="1"/>
    <col min="29" max="29" width="34.77734375" style="59" hidden="1" customWidth="1" outlineLevel="1"/>
    <col min="30" max="30" width="9.77734375" style="59" customWidth="1"/>
    <col min="31" max="31" width="12.77734375" style="59" customWidth="1"/>
    <col min="32" max="32" width="12.6640625" style="59" customWidth="1"/>
    <col min="33" max="33" width="34.77734375" style="59" customWidth="1"/>
    <col min="34" max="34" width="3.6640625" style="59" customWidth="1" collapsed="1"/>
    <col min="35" max="35" width="12.77734375" style="59" hidden="1" customWidth="1" outlineLevel="1"/>
    <col min="36" max="36" width="12.6640625" style="59" hidden="1" customWidth="1" outlineLevel="1"/>
    <col min="37" max="37" width="34.77734375" style="59" hidden="1" customWidth="1" outlineLevel="1"/>
    <col min="38" max="38" width="3.6640625" style="59" customWidth="1" collapsed="1"/>
    <col min="39" max="39" width="12.77734375" style="59" hidden="1" customWidth="1" outlineLevel="1"/>
    <col min="40" max="40" width="12.6640625" style="59" hidden="1" customWidth="1" outlineLevel="1"/>
    <col min="41" max="41" width="34.77734375" style="59" hidden="1" customWidth="1" outlineLevel="1"/>
    <col min="42" max="42" width="3.6640625" style="59" customWidth="1" collapsed="1"/>
    <col min="43" max="43" width="12.77734375" style="59" hidden="1" customWidth="1" outlineLevel="1"/>
    <col min="44" max="44" width="12.6640625" style="59" hidden="1" customWidth="1" outlineLevel="1"/>
    <col min="45" max="45" width="34.77734375" style="59" hidden="1" customWidth="1" outlineLevel="1"/>
    <col min="46" max="46" width="3.6640625" style="59" customWidth="1" collapsed="1"/>
    <col min="47" max="47" width="12.77734375" style="59" hidden="1" customWidth="1" outlineLevel="1"/>
    <col min="48" max="48" width="12.6640625" style="59" hidden="1" customWidth="1" outlineLevel="1"/>
    <col min="49" max="49" width="34.77734375" style="59" hidden="1" customWidth="1" outlineLevel="1"/>
    <col min="50" max="50" width="9.77734375" style="59" customWidth="1"/>
    <col min="51" max="51" width="12.77734375" style="59" customWidth="1"/>
    <col min="52" max="52" width="12.6640625" style="59" customWidth="1"/>
    <col min="53" max="53" width="34.77734375" style="59" customWidth="1"/>
    <col min="54" max="54" width="3.6640625" style="59" customWidth="1" collapsed="1"/>
    <col min="55" max="55" width="12.77734375" style="59" hidden="1" customWidth="1" outlineLevel="1"/>
    <col min="56" max="56" width="12.6640625" style="59" hidden="1" customWidth="1" outlineLevel="1"/>
    <col min="57" max="57" width="34.77734375" style="59" hidden="1" customWidth="1" outlineLevel="1"/>
    <col min="58" max="58" width="3.6640625" style="59" customWidth="1" collapsed="1"/>
    <col min="59" max="59" width="12.77734375" style="59" hidden="1" customWidth="1" outlineLevel="1"/>
    <col min="60" max="60" width="12.6640625" style="59" hidden="1" customWidth="1" outlineLevel="1"/>
    <col min="61" max="61" width="34.77734375" style="59" hidden="1" customWidth="1" outlineLevel="1"/>
    <col min="62" max="62" width="3.6640625" style="59" customWidth="1" collapsed="1"/>
    <col min="63" max="63" width="12.77734375" style="59" hidden="1" customWidth="1" outlineLevel="1"/>
    <col min="64" max="64" width="12.6640625" style="59" hidden="1" customWidth="1" outlineLevel="1"/>
    <col min="65" max="65" width="34.77734375" style="59" hidden="1" customWidth="1" outlineLevel="1"/>
    <col min="66" max="66" width="3.6640625" style="59" customWidth="1" collapsed="1"/>
    <col min="67" max="67" width="12.77734375" style="59" hidden="1" customWidth="1" outlineLevel="1"/>
    <col min="68" max="68" width="12.6640625" style="59" hidden="1" customWidth="1" outlineLevel="1"/>
    <col min="69" max="69" width="34.77734375" style="59" hidden="1" customWidth="1" outlineLevel="1"/>
    <col min="70" max="70" width="9.77734375" style="59" customWidth="1"/>
    <col min="71" max="71" width="12.77734375" style="59" customWidth="1"/>
    <col min="72" max="72" width="12.6640625" style="59" customWidth="1"/>
    <col min="73" max="73" width="34.77734375" style="59" customWidth="1"/>
    <col min="74" max="74" width="3.6640625" style="59" customWidth="1" collapsed="1"/>
    <col min="75" max="75" width="12.77734375" style="59" hidden="1" customWidth="1" outlineLevel="1"/>
    <col min="76" max="76" width="12.6640625" style="59" hidden="1" customWidth="1" outlineLevel="1"/>
    <col min="77" max="77" width="34.77734375" style="59" hidden="1" customWidth="1" outlineLevel="1"/>
    <col min="78" max="78" width="3.6640625" style="59" customWidth="1" collapsed="1"/>
    <col min="79" max="79" width="12.77734375" style="59" hidden="1" customWidth="1" outlineLevel="1"/>
    <col min="80" max="80" width="12.6640625" style="59" hidden="1" customWidth="1" outlineLevel="1"/>
    <col min="81" max="81" width="34.77734375" style="59" hidden="1" customWidth="1" outlineLevel="1"/>
    <col min="82" max="82" width="3.6640625" style="59" customWidth="1" collapsed="1"/>
    <col min="83" max="83" width="12.77734375" style="59" hidden="1" customWidth="1" outlineLevel="1"/>
    <col min="84" max="84" width="12.6640625" style="59" hidden="1" customWidth="1" outlineLevel="1"/>
    <col min="85" max="85" width="34.77734375" style="59" hidden="1" customWidth="1" outlineLevel="1"/>
    <col min="86" max="86" width="3.6640625" style="59" customWidth="1" collapsed="1"/>
    <col min="87" max="87" width="12.77734375" style="59" hidden="1" customWidth="1" outlineLevel="1"/>
    <col min="88" max="88" width="12.6640625" style="59" hidden="1" customWidth="1" outlineLevel="1"/>
    <col min="89" max="89" width="34.77734375" style="59" hidden="1" customWidth="1" outlineLevel="1"/>
    <col min="90" max="90" width="9.77734375" style="59" customWidth="1"/>
    <col min="91" max="91" width="12.77734375" style="59" customWidth="1"/>
    <col min="92" max="92" width="12.6640625" style="59" customWidth="1"/>
    <col min="93" max="93" width="34.77734375" style="59" customWidth="1"/>
    <col min="94" max="94" width="3.6640625" style="59" customWidth="1" collapsed="1"/>
    <col min="95" max="95" width="12.77734375" style="59" hidden="1" customWidth="1" outlineLevel="1"/>
    <col min="96" max="96" width="12.6640625" style="59" hidden="1" customWidth="1" outlineLevel="1"/>
    <col min="97" max="97" width="34.77734375" style="59" hidden="1" customWidth="1" outlineLevel="1"/>
    <col min="98" max="98" width="3.6640625" style="59" customWidth="1" collapsed="1"/>
    <col min="99" max="99" width="12.77734375" style="59" hidden="1" customWidth="1" outlineLevel="1"/>
    <col min="100" max="100" width="12.6640625" style="59" hidden="1" customWidth="1" outlineLevel="1"/>
    <col min="101" max="101" width="34.77734375" style="59" hidden="1" customWidth="1" outlineLevel="1"/>
    <col min="102" max="102" width="3.6640625" style="59" customWidth="1" collapsed="1"/>
    <col min="103" max="103" width="12.77734375" style="59" hidden="1" customWidth="1" outlineLevel="1"/>
    <col min="104" max="104" width="12.6640625" style="59" hidden="1" customWidth="1" outlineLevel="1"/>
    <col min="105" max="105" width="34.77734375" style="59" hidden="1" customWidth="1" outlineLevel="1"/>
    <col min="106" max="106" width="3.6640625" style="59" customWidth="1" collapsed="1"/>
    <col min="107" max="107" width="12.77734375" style="59" hidden="1" customWidth="1" outlineLevel="1"/>
    <col min="108" max="108" width="12.6640625" style="59" hidden="1" customWidth="1" outlineLevel="1"/>
    <col min="109" max="109" width="34.77734375" style="59" hidden="1" customWidth="1" outlineLevel="1"/>
    <col min="110" max="110" width="9.77734375" style="59" customWidth="1"/>
    <col min="111" max="111" width="12.77734375" style="59" customWidth="1"/>
    <col min="112" max="112" width="12.6640625" style="59" customWidth="1"/>
    <col min="113" max="113" width="34.77734375" style="59" customWidth="1"/>
    <col min="114" max="114" width="3.6640625" style="59" customWidth="1" collapsed="1"/>
    <col min="115" max="115" width="12.77734375" style="59" hidden="1" customWidth="1" outlineLevel="1"/>
    <col min="116" max="116" width="12.6640625" style="59" hidden="1" customWidth="1" outlineLevel="1"/>
    <col min="117" max="117" width="34.77734375" style="59" hidden="1" customWidth="1" outlineLevel="1"/>
    <col min="118" max="118" width="3.6640625" style="59" customWidth="1" collapsed="1"/>
    <col min="119" max="119" width="12.77734375" style="59" hidden="1" customWidth="1" outlineLevel="1"/>
    <col min="120" max="120" width="12.6640625" style="59" hidden="1" customWidth="1" outlineLevel="1"/>
    <col min="121" max="121" width="34.77734375" style="59" hidden="1" customWidth="1" outlineLevel="1"/>
    <col min="122" max="122" width="3.6640625" style="59" customWidth="1" collapsed="1"/>
    <col min="123" max="123" width="12.77734375" style="59" hidden="1" customWidth="1" outlineLevel="1"/>
    <col min="124" max="124" width="12.6640625" style="59" hidden="1" customWidth="1" outlineLevel="1"/>
    <col min="125" max="125" width="34.77734375" style="59" hidden="1" customWidth="1" outlineLevel="1"/>
    <col min="126" max="126" width="3.6640625" style="59" customWidth="1" collapsed="1"/>
    <col min="127" max="127" width="12.77734375" style="59" hidden="1" customWidth="1" outlineLevel="1"/>
    <col min="128" max="128" width="12.6640625" style="59" hidden="1" customWidth="1" outlineLevel="1"/>
    <col min="129" max="129" width="34.77734375" style="59" hidden="1" customWidth="1" outlineLevel="1"/>
    <col min="130" max="130" width="9.77734375" style="59" customWidth="1"/>
    <col min="131" max="16384" width="8.88671875" style="59"/>
  </cols>
  <sheetData>
    <row r="1" spans="1:130" s="345" customFormat="1" ht="24" hidden="1" customHeight="1">
      <c r="A1" s="345" t="s">
        <v>1801</v>
      </c>
      <c r="B1" s="345" t="s">
        <v>290</v>
      </c>
      <c r="C1" s="345" t="s">
        <v>332</v>
      </c>
      <c r="D1" s="345" t="s">
        <v>1003</v>
      </c>
      <c r="E1" s="345" t="s">
        <v>1802</v>
      </c>
      <c r="F1" s="345" t="s">
        <v>1998</v>
      </c>
      <c r="G1" s="345" t="s">
        <v>2004</v>
      </c>
      <c r="H1" s="345" t="s">
        <v>2003</v>
      </c>
      <c r="I1" s="345" t="s">
        <v>1803</v>
      </c>
      <c r="J1" s="345" t="s">
        <v>295</v>
      </c>
      <c r="K1" s="345" t="s">
        <v>1804</v>
      </c>
      <c r="L1" s="345" t="s">
        <v>1805</v>
      </c>
      <c r="M1" s="440" t="s">
        <v>2092</v>
      </c>
      <c r="N1" s="345" t="s">
        <v>1806</v>
      </c>
      <c r="O1" s="345" t="s">
        <v>1870</v>
      </c>
      <c r="P1" s="345" t="s">
        <v>1874</v>
      </c>
      <c r="Q1" s="440" t="s">
        <v>2075</v>
      </c>
      <c r="R1" s="345" t="s">
        <v>1807</v>
      </c>
      <c r="S1" s="345" t="s">
        <v>1871</v>
      </c>
      <c r="T1" s="345" t="s">
        <v>1875</v>
      </c>
      <c r="U1" s="440" t="s">
        <v>2076</v>
      </c>
      <c r="V1" s="345" t="s">
        <v>1808</v>
      </c>
      <c r="W1" s="345" t="s">
        <v>1872</v>
      </c>
      <c r="X1" s="345" t="s">
        <v>1876</v>
      </c>
      <c r="Y1" s="440" t="s">
        <v>2077</v>
      </c>
      <c r="Z1" s="345" t="s">
        <v>1809</v>
      </c>
      <c r="AA1" s="345" t="s">
        <v>1873</v>
      </c>
      <c r="AB1" s="345" t="s">
        <v>1877</v>
      </c>
      <c r="AC1" s="440" t="s">
        <v>2078</v>
      </c>
      <c r="AD1" s="440" t="s">
        <v>2007</v>
      </c>
      <c r="AE1" s="345" t="s">
        <v>1810</v>
      </c>
      <c r="AF1" s="345" t="s">
        <v>711</v>
      </c>
      <c r="AG1" s="440" t="s">
        <v>2079</v>
      </c>
      <c r="AH1" s="345" t="s">
        <v>1811</v>
      </c>
      <c r="AI1" s="345" t="s">
        <v>1812</v>
      </c>
      <c r="AJ1" s="345" t="s">
        <v>1813</v>
      </c>
      <c r="AK1" s="440" t="s">
        <v>2080</v>
      </c>
      <c r="AL1" s="345" t="s">
        <v>1814</v>
      </c>
      <c r="AM1" s="345" t="s">
        <v>1815</v>
      </c>
      <c r="AN1" s="345" t="s">
        <v>1816</v>
      </c>
      <c r="AO1" s="440" t="s">
        <v>2081</v>
      </c>
      <c r="AP1" s="345" t="s">
        <v>1817</v>
      </c>
      <c r="AQ1" s="345" t="s">
        <v>1818</v>
      </c>
      <c r="AR1" s="345" t="s">
        <v>1819</v>
      </c>
      <c r="AS1" s="440" t="s">
        <v>2082</v>
      </c>
      <c r="AT1" s="345" t="s">
        <v>1820</v>
      </c>
      <c r="AU1" s="345" t="s">
        <v>1821</v>
      </c>
      <c r="AV1" s="345" t="s">
        <v>1822</v>
      </c>
      <c r="AW1" s="440" t="s">
        <v>2084</v>
      </c>
      <c r="AX1" s="440" t="s">
        <v>2008</v>
      </c>
      <c r="AY1" s="345" t="s">
        <v>1823</v>
      </c>
      <c r="AZ1" s="345" t="s">
        <v>712</v>
      </c>
      <c r="BA1" s="440" t="s">
        <v>2085</v>
      </c>
      <c r="BB1" s="345" t="s">
        <v>1824</v>
      </c>
      <c r="BC1" s="345" t="s">
        <v>1825</v>
      </c>
      <c r="BD1" s="345" t="s">
        <v>1826</v>
      </c>
      <c r="BE1" s="440" t="s">
        <v>2086</v>
      </c>
      <c r="BF1" s="345" t="s">
        <v>1827</v>
      </c>
      <c r="BG1" s="345" t="s">
        <v>1828</v>
      </c>
      <c r="BH1" s="345" t="s">
        <v>1829</v>
      </c>
      <c r="BI1" s="440" t="s">
        <v>2087</v>
      </c>
      <c r="BJ1" s="345" t="s">
        <v>1830</v>
      </c>
      <c r="BK1" s="345" t="s">
        <v>1831</v>
      </c>
      <c r="BL1" s="345" t="s">
        <v>1832</v>
      </c>
      <c r="BM1" s="440" t="s">
        <v>2088</v>
      </c>
      <c r="BN1" s="345" t="s">
        <v>1833</v>
      </c>
      <c r="BO1" s="345" t="s">
        <v>1834</v>
      </c>
      <c r="BP1" s="345" t="s">
        <v>1835</v>
      </c>
      <c r="BQ1" s="440" t="s">
        <v>2089</v>
      </c>
      <c r="BR1" s="440" t="s">
        <v>2009</v>
      </c>
      <c r="BS1" s="345" t="s">
        <v>2019</v>
      </c>
      <c r="BT1" s="345" t="s">
        <v>2011</v>
      </c>
      <c r="BU1" s="440" t="s">
        <v>2012</v>
      </c>
      <c r="BV1" s="345" t="s">
        <v>2020</v>
      </c>
      <c r="BW1" s="345" t="s">
        <v>2021</v>
      </c>
      <c r="BX1" s="345" t="s">
        <v>2022</v>
      </c>
      <c r="BY1" s="440" t="s">
        <v>2023</v>
      </c>
      <c r="BZ1" s="345" t="s">
        <v>2024</v>
      </c>
      <c r="CA1" s="345" t="s">
        <v>2025</v>
      </c>
      <c r="CB1" s="345" t="s">
        <v>2026</v>
      </c>
      <c r="CC1" s="440" t="s">
        <v>2027</v>
      </c>
      <c r="CD1" s="345" t="s">
        <v>2028</v>
      </c>
      <c r="CE1" s="345" t="s">
        <v>2029</v>
      </c>
      <c r="CF1" s="345" t="s">
        <v>2030</v>
      </c>
      <c r="CG1" s="440" t="s">
        <v>2031</v>
      </c>
      <c r="CH1" s="345" t="s">
        <v>2032</v>
      </c>
      <c r="CI1" s="345" t="s">
        <v>2033</v>
      </c>
      <c r="CJ1" s="345" t="s">
        <v>2034</v>
      </c>
      <c r="CK1" s="440" t="s">
        <v>2035</v>
      </c>
      <c r="CL1" s="440" t="s">
        <v>2052</v>
      </c>
      <c r="CM1" s="345" t="s">
        <v>2013</v>
      </c>
      <c r="CN1" s="345" t="s">
        <v>2014</v>
      </c>
      <c r="CO1" s="345" t="s">
        <v>2015</v>
      </c>
      <c r="CP1" s="345" t="s">
        <v>2036</v>
      </c>
      <c r="CQ1" s="345" t="s">
        <v>2037</v>
      </c>
      <c r="CR1" s="345" t="s">
        <v>2038</v>
      </c>
      <c r="CS1" s="440" t="s">
        <v>2039</v>
      </c>
      <c r="CT1" s="345" t="s">
        <v>2040</v>
      </c>
      <c r="CU1" s="345" t="s">
        <v>2041</v>
      </c>
      <c r="CV1" s="345" t="s">
        <v>2042</v>
      </c>
      <c r="CW1" s="440" t="s">
        <v>2043</v>
      </c>
      <c r="CX1" s="345" t="s">
        <v>2044</v>
      </c>
      <c r="CY1" s="345" t="s">
        <v>2045</v>
      </c>
      <c r="CZ1" s="345" t="s">
        <v>2046</v>
      </c>
      <c r="DA1" s="440" t="s">
        <v>2047</v>
      </c>
      <c r="DB1" s="345" t="s">
        <v>2048</v>
      </c>
      <c r="DC1" s="345" t="s">
        <v>2049</v>
      </c>
      <c r="DD1" s="345" t="s">
        <v>2050</v>
      </c>
      <c r="DE1" s="440" t="s">
        <v>2051</v>
      </c>
      <c r="DF1" s="440" t="s">
        <v>2053</v>
      </c>
      <c r="DG1" s="345" t="s">
        <v>2054</v>
      </c>
      <c r="DH1" s="345" t="s">
        <v>2055</v>
      </c>
      <c r="DI1" s="440" t="s">
        <v>2018</v>
      </c>
      <c r="DJ1" s="345" t="s">
        <v>2056</v>
      </c>
      <c r="DK1" s="345" t="s">
        <v>2057</v>
      </c>
      <c r="DL1" s="345" t="s">
        <v>2058</v>
      </c>
      <c r="DM1" s="440" t="s">
        <v>2059</v>
      </c>
      <c r="DN1" s="345" t="s">
        <v>2060</v>
      </c>
      <c r="DO1" s="345" t="s">
        <v>2061</v>
      </c>
      <c r="DP1" s="345" t="s">
        <v>2062</v>
      </c>
      <c r="DQ1" s="440" t="s">
        <v>2063</v>
      </c>
      <c r="DR1" s="345" t="s">
        <v>2064</v>
      </c>
      <c r="DS1" s="345" t="s">
        <v>2065</v>
      </c>
      <c r="DT1" s="345" t="s">
        <v>2066</v>
      </c>
      <c r="DU1" s="440" t="s">
        <v>2067</v>
      </c>
      <c r="DV1" s="345" t="s">
        <v>2068</v>
      </c>
      <c r="DW1" s="345" t="s">
        <v>2069</v>
      </c>
      <c r="DX1" s="345" t="s">
        <v>2070</v>
      </c>
      <c r="DY1" s="440" t="s">
        <v>2071</v>
      </c>
      <c r="DZ1" s="440" t="s">
        <v>2072</v>
      </c>
    </row>
    <row r="2" spans="1:130" ht="19.5" customHeight="1">
      <c r="A2" s="114" t="str">
        <f>"Ver."&amp;変更履歴!$B$1</f>
        <v>Ver.10.1</v>
      </c>
    </row>
    <row r="3" spans="1:130" ht="19.5" customHeight="1">
      <c r="A3" s="58" t="s">
        <v>292</v>
      </c>
    </row>
    <row r="4" spans="1:130" ht="15">
      <c r="A4" s="453" t="s">
        <v>335</v>
      </c>
    </row>
    <row r="5" spans="1:130" ht="15">
      <c r="A5" s="453" t="s">
        <v>2090</v>
      </c>
    </row>
    <row r="6" spans="1:130" ht="20.100000000000001" customHeight="1">
      <c r="A6" s="60"/>
      <c r="B6" s="60"/>
      <c r="C6" s="509" t="s">
        <v>293</v>
      </c>
      <c r="D6" s="510"/>
      <c r="E6" s="510"/>
      <c r="F6" s="510"/>
      <c r="G6" s="510"/>
      <c r="H6" s="510"/>
      <c r="I6" s="510"/>
      <c r="J6" s="510"/>
      <c r="K6" s="61" t="s">
        <v>294</v>
      </c>
      <c r="L6" s="62"/>
      <c r="M6" s="62"/>
      <c r="N6" s="64"/>
      <c r="O6" s="62"/>
      <c r="P6" s="62"/>
      <c r="Q6" s="65"/>
      <c r="R6" s="64"/>
      <c r="S6" s="62"/>
      <c r="T6" s="62"/>
      <c r="U6" s="65"/>
      <c r="V6" s="64"/>
      <c r="W6" s="62"/>
      <c r="X6" s="62"/>
      <c r="Y6" s="65"/>
      <c r="Z6" s="64"/>
      <c r="AA6" s="62"/>
      <c r="AB6" s="62"/>
      <c r="AC6" s="65"/>
      <c r="AD6" s="66"/>
      <c r="AE6" s="62" t="s">
        <v>294</v>
      </c>
      <c r="AF6" s="62"/>
      <c r="AG6" s="62"/>
      <c r="AH6" s="64"/>
      <c r="AI6" s="62"/>
      <c r="AJ6" s="62"/>
      <c r="AK6" s="65"/>
      <c r="AL6" s="64"/>
      <c r="AM6" s="62"/>
      <c r="AN6" s="62"/>
      <c r="AO6" s="65"/>
      <c r="AP6" s="64"/>
      <c r="AQ6" s="62"/>
      <c r="AR6" s="62"/>
      <c r="AS6" s="65"/>
      <c r="AT6" s="64"/>
      <c r="AU6" s="62"/>
      <c r="AV6" s="62"/>
      <c r="AW6" s="65"/>
      <c r="AX6" s="66"/>
      <c r="AY6" s="62" t="s">
        <v>294</v>
      </c>
      <c r="AZ6" s="62"/>
      <c r="BA6" s="62"/>
      <c r="BB6" s="64"/>
      <c r="BC6" s="62"/>
      <c r="BD6" s="62"/>
      <c r="BE6" s="65"/>
      <c r="BF6" s="64"/>
      <c r="BG6" s="62"/>
      <c r="BH6" s="62"/>
      <c r="BI6" s="65"/>
      <c r="BJ6" s="64"/>
      <c r="BK6" s="62"/>
      <c r="BL6" s="62"/>
      <c r="BM6" s="65"/>
      <c r="BN6" s="64"/>
      <c r="BO6" s="62"/>
      <c r="BP6" s="62"/>
      <c r="BQ6" s="65"/>
      <c r="BR6" s="66"/>
      <c r="BS6" s="445" t="s">
        <v>294</v>
      </c>
      <c r="BT6" s="446"/>
      <c r="BU6" s="446"/>
      <c r="BV6" s="447"/>
      <c r="BW6" s="446"/>
      <c r="BX6" s="446"/>
      <c r="BY6" s="448"/>
      <c r="BZ6" s="447"/>
      <c r="CA6" s="446"/>
      <c r="CB6" s="446"/>
      <c r="CC6" s="448"/>
      <c r="CD6" s="447"/>
      <c r="CE6" s="446"/>
      <c r="CF6" s="446"/>
      <c r="CG6" s="448"/>
      <c r="CH6" s="447"/>
      <c r="CI6" s="446"/>
      <c r="CJ6" s="446"/>
      <c r="CK6" s="448"/>
      <c r="CL6" s="452"/>
      <c r="CM6" s="446" t="s">
        <v>294</v>
      </c>
      <c r="CN6" s="446"/>
      <c r="CO6" s="446"/>
      <c r="CP6" s="447"/>
      <c r="CQ6" s="446"/>
      <c r="CR6" s="446"/>
      <c r="CS6" s="448"/>
      <c r="CT6" s="447"/>
      <c r="CU6" s="446"/>
      <c r="CV6" s="446"/>
      <c r="CW6" s="448"/>
      <c r="CX6" s="447"/>
      <c r="CY6" s="446"/>
      <c r="CZ6" s="446"/>
      <c r="DA6" s="448"/>
      <c r="DB6" s="447"/>
      <c r="DC6" s="446"/>
      <c r="DD6" s="446"/>
      <c r="DE6" s="448"/>
      <c r="DF6" s="452"/>
      <c r="DG6" s="446" t="s">
        <v>294</v>
      </c>
      <c r="DH6" s="446"/>
      <c r="DI6" s="446"/>
      <c r="DJ6" s="447"/>
      <c r="DK6" s="446"/>
      <c r="DL6" s="446"/>
      <c r="DM6" s="448"/>
      <c r="DN6" s="447"/>
      <c r="DO6" s="446"/>
      <c r="DP6" s="446"/>
      <c r="DQ6" s="448"/>
      <c r="DR6" s="447"/>
      <c r="DS6" s="446"/>
      <c r="DT6" s="446"/>
      <c r="DU6" s="448"/>
      <c r="DV6" s="447"/>
      <c r="DW6" s="446"/>
      <c r="DX6" s="446"/>
      <c r="DY6" s="448"/>
      <c r="DZ6" s="452"/>
    </row>
    <row r="7" spans="1:130" s="345" customFormat="1" ht="60">
      <c r="A7" s="342" t="s">
        <v>1836</v>
      </c>
      <c r="B7" s="342" t="s">
        <v>290</v>
      </c>
      <c r="C7" s="343" t="s">
        <v>332</v>
      </c>
      <c r="D7" s="342" t="s">
        <v>1837</v>
      </c>
      <c r="E7" s="342" t="s">
        <v>1838</v>
      </c>
      <c r="F7" s="343" t="s">
        <v>1999</v>
      </c>
      <c r="G7" s="343" t="s">
        <v>2004</v>
      </c>
      <c r="H7" s="343" t="s">
        <v>2091</v>
      </c>
      <c r="I7" s="343" t="s">
        <v>1839</v>
      </c>
      <c r="J7" s="343" t="s">
        <v>295</v>
      </c>
      <c r="K7" s="342" t="s">
        <v>1840</v>
      </c>
      <c r="L7" s="342" t="s">
        <v>1805</v>
      </c>
      <c r="M7" s="341" t="s">
        <v>2073</v>
      </c>
      <c r="N7" s="343" t="s">
        <v>1841</v>
      </c>
      <c r="O7" s="342" t="s">
        <v>1840</v>
      </c>
      <c r="P7" s="342" t="s">
        <v>1805</v>
      </c>
      <c r="Q7" s="341" t="s">
        <v>2074</v>
      </c>
      <c r="R7" s="343" t="s">
        <v>1841</v>
      </c>
      <c r="S7" s="342" t="s">
        <v>1840</v>
      </c>
      <c r="T7" s="342" t="s">
        <v>1805</v>
      </c>
      <c r="U7" s="341" t="s">
        <v>2074</v>
      </c>
      <c r="V7" s="343" t="s">
        <v>1841</v>
      </c>
      <c r="W7" s="342" t="s">
        <v>1840</v>
      </c>
      <c r="X7" s="342" t="s">
        <v>1805</v>
      </c>
      <c r="Y7" s="341" t="s">
        <v>2074</v>
      </c>
      <c r="Z7" s="343" t="s">
        <v>1841</v>
      </c>
      <c r="AA7" s="342" t="s">
        <v>1840</v>
      </c>
      <c r="AB7" s="342" t="s">
        <v>1805</v>
      </c>
      <c r="AC7" s="341" t="s">
        <v>2074</v>
      </c>
      <c r="AD7" s="344" t="s">
        <v>2107</v>
      </c>
      <c r="AE7" s="342" t="s">
        <v>1842</v>
      </c>
      <c r="AF7" s="342" t="s">
        <v>711</v>
      </c>
      <c r="AG7" s="341" t="s">
        <v>2079</v>
      </c>
      <c r="AH7" s="343" t="s">
        <v>1841</v>
      </c>
      <c r="AI7" s="342" t="s">
        <v>1842</v>
      </c>
      <c r="AJ7" s="342" t="s">
        <v>711</v>
      </c>
      <c r="AK7" s="341" t="s">
        <v>2079</v>
      </c>
      <c r="AL7" s="343" t="s">
        <v>1841</v>
      </c>
      <c r="AM7" s="342" t="s">
        <v>1842</v>
      </c>
      <c r="AN7" s="342" t="s">
        <v>711</v>
      </c>
      <c r="AO7" s="341" t="s">
        <v>2079</v>
      </c>
      <c r="AP7" s="343" t="s">
        <v>1841</v>
      </c>
      <c r="AQ7" s="342" t="s">
        <v>1842</v>
      </c>
      <c r="AR7" s="342" t="s">
        <v>711</v>
      </c>
      <c r="AS7" s="341" t="s">
        <v>2079</v>
      </c>
      <c r="AT7" s="343" t="s">
        <v>1841</v>
      </c>
      <c r="AU7" s="342" t="s">
        <v>1842</v>
      </c>
      <c r="AV7" s="342" t="s">
        <v>711</v>
      </c>
      <c r="AW7" s="341" t="s">
        <v>2083</v>
      </c>
      <c r="AX7" s="344" t="s">
        <v>2108</v>
      </c>
      <c r="AY7" s="342" t="s">
        <v>1843</v>
      </c>
      <c r="AZ7" s="342" t="s">
        <v>712</v>
      </c>
      <c r="BA7" s="341" t="s">
        <v>2085</v>
      </c>
      <c r="BB7" s="343" t="s">
        <v>1841</v>
      </c>
      <c r="BC7" s="342" t="s">
        <v>1843</v>
      </c>
      <c r="BD7" s="342" t="s">
        <v>712</v>
      </c>
      <c r="BE7" s="341" t="s">
        <v>2085</v>
      </c>
      <c r="BF7" s="343" t="s">
        <v>1841</v>
      </c>
      <c r="BG7" s="342" t="s">
        <v>1843</v>
      </c>
      <c r="BH7" s="342" t="s">
        <v>712</v>
      </c>
      <c r="BI7" s="341" t="s">
        <v>2085</v>
      </c>
      <c r="BJ7" s="343" t="s">
        <v>1841</v>
      </c>
      <c r="BK7" s="342" t="s">
        <v>1843</v>
      </c>
      <c r="BL7" s="342" t="s">
        <v>712</v>
      </c>
      <c r="BM7" s="341" t="s">
        <v>2085</v>
      </c>
      <c r="BN7" s="343" t="s">
        <v>1841</v>
      </c>
      <c r="BO7" s="342" t="s">
        <v>1843</v>
      </c>
      <c r="BP7" s="342" t="s">
        <v>712</v>
      </c>
      <c r="BQ7" s="341" t="s">
        <v>2085</v>
      </c>
      <c r="BR7" s="344" t="s">
        <v>2109</v>
      </c>
      <c r="BS7" s="449" t="s">
        <v>2010</v>
      </c>
      <c r="BT7" s="449" t="s">
        <v>2011</v>
      </c>
      <c r="BU7" s="450" t="s">
        <v>2012</v>
      </c>
      <c r="BV7" s="451" t="s">
        <v>1841</v>
      </c>
      <c r="BW7" s="449" t="s">
        <v>2010</v>
      </c>
      <c r="BX7" s="449" t="s">
        <v>2011</v>
      </c>
      <c r="BY7" s="450" t="s">
        <v>2012</v>
      </c>
      <c r="BZ7" s="451" t="s">
        <v>1841</v>
      </c>
      <c r="CA7" s="449" t="s">
        <v>2010</v>
      </c>
      <c r="CB7" s="449" t="s">
        <v>2011</v>
      </c>
      <c r="CC7" s="450" t="s">
        <v>2012</v>
      </c>
      <c r="CD7" s="451" t="s">
        <v>1841</v>
      </c>
      <c r="CE7" s="449" t="s">
        <v>2010</v>
      </c>
      <c r="CF7" s="449" t="s">
        <v>2011</v>
      </c>
      <c r="CG7" s="450" t="s">
        <v>2012</v>
      </c>
      <c r="CH7" s="451" t="s">
        <v>1841</v>
      </c>
      <c r="CI7" s="449" t="s">
        <v>2010</v>
      </c>
      <c r="CJ7" s="449" t="s">
        <v>2011</v>
      </c>
      <c r="CK7" s="450" t="s">
        <v>2012</v>
      </c>
      <c r="CL7" s="344" t="s">
        <v>2110</v>
      </c>
      <c r="CM7" s="449" t="s">
        <v>2013</v>
      </c>
      <c r="CN7" s="449" t="s">
        <v>2014</v>
      </c>
      <c r="CO7" s="450" t="s">
        <v>2015</v>
      </c>
      <c r="CP7" s="451" t="s">
        <v>1841</v>
      </c>
      <c r="CQ7" s="449" t="s">
        <v>2013</v>
      </c>
      <c r="CR7" s="449" t="s">
        <v>2014</v>
      </c>
      <c r="CS7" s="450" t="s">
        <v>2015</v>
      </c>
      <c r="CT7" s="451" t="s">
        <v>1841</v>
      </c>
      <c r="CU7" s="449" t="s">
        <v>2013</v>
      </c>
      <c r="CV7" s="449" t="s">
        <v>2014</v>
      </c>
      <c r="CW7" s="450" t="s">
        <v>2015</v>
      </c>
      <c r="CX7" s="451" t="s">
        <v>1841</v>
      </c>
      <c r="CY7" s="449" t="s">
        <v>2013</v>
      </c>
      <c r="CZ7" s="449" t="s">
        <v>2014</v>
      </c>
      <c r="DA7" s="450" t="s">
        <v>2015</v>
      </c>
      <c r="DB7" s="451" t="s">
        <v>1841</v>
      </c>
      <c r="DC7" s="449" t="s">
        <v>2013</v>
      </c>
      <c r="DD7" s="449" t="s">
        <v>2014</v>
      </c>
      <c r="DE7" s="450" t="s">
        <v>2015</v>
      </c>
      <c r="DF7" s="344" t="s">
        <v>2111</v>
      </c>
      <c r="DG7" s="449" t="s">
        <v>2016</v>
      </c>
      <c r="DH7" s="449" t="s">
        <v>2017</v>
      </c>
      <c r="DI7" s="450" t="s">
        <v>2018</v>
      </c>
      <c r="DJ7" s="451" t="s">
        <v>1841</v>
      </c>
      <c r="DK7" s="449" t="s">
        <v>2016</v>
      </c>
      <c r="DL7" s="449" t="s">
        <v>2017</v>
      </c>
      <c r="DM7" s="450" t="s">
        <v>2018</v>
      </c>
      <c r="DN7" s="451" t="s">
        <v>1841</v>
      </c>
      <c r="DO7" s="449" t="s">
        <v>2016</v>
      </c>
      <c r="DP7" s="449" t="s">
        <v>2017</v>
      </c>
      <c r="DQ7" s="450" t="s">
        <v>2018</v>
      </c>
      <c r="DR7" s="451" t="s">
        <v>1841</v>
      </c>
      <c r="DS7" s="449" t="s">
        <v>2016</v>
      </c>
      <c r="DT7" s="449" t="s">
        <v>2017</v>
      </c>
      <c r="DU7" s="450" t="s">
        <v>2018</v>
      </c>
      <c r="DV7" s="451" t="s">
        <v>1841</v>
      </c>
      <c r="DW7" s="449" t="s">
        <v>2016</v>
      </c>
      <c r="DX7" s="449" t="s">
        <v>2017</v>
      </c>
      <c r="DY7" s="450" t="s">
        <v>2018</v>
      </c>
      <c r="DZ7" s="344" t="s">
        <v>2112</v>
      </c>
    </row>
    <row r="8" spans="1:130" ht="19.5" customHeight="1">
      <c r="A8" s="69">
        <v>1</v>
      </c>
      <c r="B8" s="94" t="s">
        <v>19</v>
      </c>
      <c r="C8" s="70" t="s">
        <v>321</v>
      </c>
      <c r="D8" s="69" t="s">
        <v>692</v>
      </c>
      <c r="E8" s="69" t="s">
        <v>694</v>
      </c>
      <c r="F8" s="69" t="s">
        <v>2002</v>
      </c>
      <c r="G8" s="69" t="s">
        <v>186</v>
      </c>
      <c r="H8" s="69"/>
      <c r="I8" s="69" t="s">
        <v>697</v>
      </c>
      <c r="J8" s="69"/>
      <c r="K8" s="69" t="s">
        <v>297</v>
      </c>
      <c r="L8" s="69" t="s">
        <v>298</v>
      </c>
      <c r="M8" s="69" t="s">
        <v>299</v>
      </c>
      <c r="N8" s="71" t="s">
        <v>300</v>
      </c>
      <c r="O8" s="69" t="s">
        <v>297</v>
      </c>
      <c r="P8" s="69" t="s">
        <v>298</v>
      </c>
      <c r="Q8" s="69" t="s">
        <v>301</v>
      </c>
      <c r="R8" s="71" t="s">
        <v>300</v>
      </c>
      <c r="S8" s="69" t="s">
        <v>186</v>
      </c>
      <c r="T8" s="69" t="s">
        <v>186</v>
      </c>
      <c r="U8" s="69"/>
      <c r="V8" s="71" t="s">
        <v>300</v>
      </c>
      <c r="W8" s="69" t="s">
        <v>186</v>
      </c>
      <c r="X8" s="69" t="s">
        <v>186</v>
      </c>
      <c r="Y8" s="69"/>
      <c r="Z8" s="71" t="s">
        <v>300</v>
      </c>
      <c r="AA8" s="69" t="s">
        <v>186</v>
      </c>
      <c r="AB8" s="69" t="s">
        <v>186</v>
      </c>
      <c r="AC8" s="69"/>
      <c r="AD8" s="72" t="s">
        <v>186</v>
      </c>
      <c r="AE8" s="69" t="s">
        <v>186</v>
      </c>
      <c r="AF8" s="69" t="s">
        <v>186</v>
      </c>
      <c r="AG8" s="69"/>
      <c r="AH8" s="71" t="s">
        <v>300</v>
      </c>
      <c r="AI8" s="69" t="s">
        <v>186</v>
      </c>
      <c r="AJ8" s="69" t="s">
        <v>186</v>
      </c>
      <c r="AK8" s="69"/>
      <c r="AL8" s="71" t="s">
        <v>300</v>
      </c>
      <c r="AM8" s="69" t="s">
        <v>186</v>
      </c>
      <c r="AN8" s="69" t="s">
        <v>186</v>
      </c>
      <c r="AO8" s="69"/>
      <c r="AP8" s="71" t="s">
        <v>300</v>
      </c>
      <c r="AQ8" s="69" t="s">
        <v>186</v>
      </c>
      <c r="AR8" s="69" t="s">
        <v>186</v>
      </c>
      <c r="AS8" s="69"/>
      <c r="AT8" s="71" t="s">
        <v>300</v>
      </c>
      <c r="AU8" s="69" t="s">
        <v>186</v>
      </c>
      <c r="AV8" s="69" t="s">
        <v>186</v>
      </c>
      <c r="AW8" s="69"/>
      <c r="AX8" s="72" t="s">
        <v>186</v>
      </c>
      <c r="AY8" s="69" t="s">
        <v>186</v>
      </c>
      <c r="AZ8" s="69" t="s">
        <v>186</v>
      </c>
      <c r="BA8" s="69"/>
      <c r="BB8" s="71" t="s">
        <v>300</v>
      </c>
      <c r="BC8" s="69" t="s">
        <v>186</v>
      </c>
      <c r="BD8" s="69" t="s">
        <v>186</v>
      </c>
      <c r="BE8" s="69"/>
      <c r="BF8" s="71" t="s">
        <v>300</v>
      </c>
      <c r="BG8" s="69" t="s">
        <v>186</v>
      </c>
      <c r="BH8" s="69" t="s">
        <v>186</v>
      </c>
      <c r="BI8" s="69"/>
      <c r="BJ8" s="71" t="s">
        <v>300</v>
      </c>
      <c r="BK8" s="69" t="s">
        <v>186</v>
      </c>
      <c r="BL8" s="69" t="s">
        <v>186</v>
      </c>
      <c r="BM8" s="69"/>
      <c r="BN8" s="71" t="s">
        <v>300</v>
      </c>
      <c r="BO8" s="69" t="s">
        <v>186</v>
      </c>
      <c r="BP8" s="69" t="s">
        <v>186</v>
      </c>
      <c r="BQ8" s="69"/>
      <c r="BR8" s="72" t="s">
        <v>186</v>
      </c>
      <c r="BS8" s="69" t="s">
        <v>186</v>
      </c>
      <c r="BT8" s="69" t="s">
        <v>186</v>
      </c>
      <c r="BU8" s="69"/>
      <c r="BV8" s="71" t="s">
        <v>300</v>
      </c>
      <c r="BW8" s="69" t="s">
        <v>186</v>
      </c>
      <c r="BX8" s="69" t="s">
        <v>186</v>
      </c>
      <c r="BY8" s="69"/>
      <c r="BZ8" s="71" t="s">
        <v>300</v>
      </c>
      <c r="CA8" s="69" t="s">
        <v>186</v>
      </c>
      <c r="CB8" s="69" t="s">
        <v>186</v>
      </c>
      <c r="CC8" s="69"/>
      <c r="CD8" s="71" t="s">
        <v>300</v>
      </c>
      <c r="CE8" s="69" t="s">
        <v>186</v>
      </c>
      <c r="CF8" s="69" t="s">
        <v>186</v>
      </c>
      <c r="CG8" s="69"/>
      <c r="CH8" s="71" t="s">
        <v>300</v>
      </c>
      <c r="CI8" s="69" t="s">
        <v>186</v>
      </c>
      <c r="CJ8" s="69" t="s">
        <v>186</v>
      </c>
      <c r="CK8" s="69"/>
      <c r="CL8" s="72" t="s">
        <v>186</v>
      </c>
      <c r="CM8" s="69" t="s">
        <v>186</v>
      </c>
      <c r="CN8" s="69" t="s">
        <v>186</v>
      </c>
      <c r="CO8" s="69"/>
      <c r="CP8" s="71" t="s">
        <v>300</v>
      </c>
      <c r="CQ8" s="69" t="s">
        <v>186</v>
      </c>
      <c r="CR8" s="69" t="s">
        <v>186</v>
      </c>
      <c r="CS8" s="69"/>
      <c r="CT8" s="71" t="s">
        <v>300</v>
      </c>
      <c r="CU8" s="69" t="s">
        <v>186</v>
      </c>
      <c r="CV8" s="69" t="s">
        <v>186</v>
      </c>
      <c r="CW8" s="69"/>
      <c r="CX8" s="71" t="s">
        <v>300</v>
      </c>
      <c r="CY8" s="69" t="s">
        <v>186</v>
      </c>
      <c r="CZ8" s="69" t="s">
        <v>186</v>
      </c>
      <c r="DA8" s="69"/>
      <c r="DB8" s="71" t="s">
        <v>300</v>
      </c>
      <c r="DC8" s="69" t="s">
        <v>186</v>
      </c>
      <c r="DD8" s="69" t="s">
        <v>186</v>
      </c>
      <c r="DE8" s="69"/>
      <c r="DF8" s="72" t="s">
        <v>186</v>
      </c>
      <c r="DG8" s="69" t="s">
        <v>186</v>
      </c>
      <c r="DH8" s="69" t="s">
        <v>186</v>
      </c>
      <c r="DI8" s="69"/>
      <c r="DJ8" s="71" t="s">
        <v>300</v>
      </c>
      <c r="DK8" s="69" t="s">
        <v>186</v>
      </c>
      <c r="DL8" s="69" t="s">
        <v>186</v>
      </c>
      <c r="DM8" s="69"/>
      <c r="DN8" s="71" t="s">
        <v>300</v>
      </c>
      <c r="DO8" s="69" t="s">
        <v>186</v>
      </c>
      <c r="DP8" s="69" t="s">
        <v>186</v>
      </c>
      <c r="DQ8" s="69"/>
      <c r="DR8" s="71" t="s">
        <v>300</v>
      </c>
      <c r="DS8" s="69" t="s">
        <v>186</v>
      </c>
      <c r="DT8" s="69" t="s">
        <v>186</v>
      </c>
      <c r="DU8" s="69"/>
      <c r="DV8" s="71" t="s">
        <v>300</v>
      </c>
      <c r="DW8" s="69" t="s">
        <v>186</v>
      </c>
      <c r="DX8" s="69" t="s">
        <v>186</v>
      </c>
      <c r="DY8" s="69"/>
      <c r="DZ8" s="72" t="s">
        <v>186</v>
      </c>
    </row>
    <row r="9" spans="1:130" ht="19.5" customHeight="1">
      <c r="A9" s="69">
        <v>2</v>
      </c>
      <c r="B9" s="94" t="s">
        <v>19</v>
      </c>
      <c r="C9" s="70" t="s">
        <v>310</v>
      </c>
      <c r="D9" s="69" t="s">
        <v>692</v>
      </c>
      <c r="E9" s="69" t="s">
        <v>695</v>
      </c>
      <c r="F9" s="69" t="s">
        <v>186</v>
      </c>
      <c r="G9" s="69" t="s">
        <v>186</v>
      </c>
      <c r="H9" s="69"/>
      <c r="I9" s="69" t="s">
        <v>697</v>
      </c>
      <c r="J9" s="69"/>
      <c r="K9" s="69" t="s">
        <v>297</v>
      </c>
      <c r="L9" s="69" t="s">
        <v>298</v>
      </c>
      <c r="M9" s="69" t="s">
        <v>302</v>
      </c>
      <c r="N9" s="71" t="s">
        <v>300</v>
      </c>
      <c r="O9" s="69" t="s">
        <v>297</v>
      </c>
      <c r="P9" s="69" t="s">
        <v>298</v>
      </c>
      <c r="Q9" s="69" t="s">
        <v>301</v>
      </c>
      <c r="R9" s="71" t="s">
        <v>300</v>
      </c>
      <c r="S9" s="69" t="s">
        <v>186</v>
      </c>
      <c r="T9" s="69" t="s">
        <v>186</v>
      </c>
      <c r="U9" s="69"/>
      <c r="V9" s="71" t="s">
        <v>300</v>
      </c>
      <c r="W9" s="69" t="s">
        <v>186</v>
      </c>
      <c r="X9" s="69" t="s">
        <v>186</v>
      </c>
      <c r="Y9" s="69"/>
      <c r="Z9" s="71" t="s">
        <v>300</v>
      </c>
      <c r="AA9" s="69" t="s">
        <v>186</v>
      </c>
      <c r="AB9" s="69" t="s">
        <v>186</v>
      </c>
      <c r="AC9" s="69"/>
      <c r="AD9" s="72" t="s">
        <v>186</v>
      </c>
      <c r="AE9" s="69" t="s">
        <v>186</v>
      </c>
      <c r="AF9" s="69" t="s">
        <v>186</v>
      </c>
      <c r="AG9" s="69"/>
      <c r="AH9" s="71" t="s">
        <v>300</v>
      </c>
      <c r="AI9" s="69" t="s">
        <v>186</v>
      </c>
      <c r="AJ9" s="69" t="s">
        <v>186</v>
      </c>
      <c r="AK9" s="69"/>
      <c r="AL9" s="71" t="s">
        <v>300</v>
      </c>
      <c r="AM9" s="69" t="s">
        <v>186</v>
      </c>
      <c r="AN9" s="69" t="s">
        <v>186</v>
      </c>
      <c r="AO9" s="69"/>
      <c r="AP9" s="71" t="s">
        <v>300</v>
      </c>
      <c r="AQ9" s="69" t="s">
        <v>186</v>
      </c>
      <c r="AR9" s="69" t="s">
        <v>186</v>
      </c>
      <c r="AS9" s="69"/>
      <c r="AT9" s="71" t="s">
        <v>300</v>
      </c>
      <c r="AU9" s="69" t="s">
        <v>186</v>
      </c>
      <c r="AV9" s="69" t="s">
        <v>186</v>
      </c>
      <c r="AW9" s="69"/>
      <c r="AX9" s="72" t="s">
        <v>186</v>
      </c>
      <c r="AY9" s="69" t="s">
        <v>186</v>
      </c>
      <c r="AZ9" s="69" t="s">
        <v>186</v>
      </c>
      <c r="BA9" s="69"/>
      <c r="BB9" s="71" t="s">
        <v>300</v>
      </c>
      <c r="BC9" s="69" t="s">
        <v>186</v>
      </c>
      <c r="BD9" s="69" t="s">
        <v>186</v>
      </c>
      <c r="BE9" s="69"/>
      <c r="BF9" s="71" t="s">
        <v>300</v>
      </c>
      <c r="BG9" s="69" t="s">
        <v>186</v>
      </c>
      <c r="BH9" s="69" t="s">
        <v>186</v>
      </c>
      <c r="BI9" s="69"/>
      <c r="BJ9" s="71" t="s">
        <v>300</v>
      </c>
      <c r="BK9" s="69" t="s">
        <v>186</v>
      </c>
      <c r="BL9" s="69" t="s">
        <v>186</v>
      </c>
      <c r="BM9" s="69"/>
      <c r="BN9" s="71" t="s">
        <v>300</v>
      </c>
      <c r="BO9" s="69" t="s">
        <v>186</v>
      </c>
      <c r="BP9" s="69" t="s">
        <v>186</v>
      </c>
      <c r="BQ9" s="69"/>
      <c r="BR9" s="72" t="s">
        <v>186</v>
      </c>
      <c r="BS9" s="69" t="s">
        <v>186</v>
      </c>
      <c r="BT9" s="69" t="s">
        <v>186</v>
      </c>
      <c r="BU9" s="69"/>
      <c r="BV9" s="71" t="s">
        <v>300</v>
      </c>
      <c r="BW9" s="69" t="s">
        <v>186</v>
      </c>
      <c r="BX9" s="69" t="s">
        <v>186</v>
      </c>
      <c r="BY9" s="69"/>
      <c r="BZ9" s="71" t="s">
        <v>300</v>
      </c>
      <c r="CA9" s="69" t="s">
        <v>186</v>
      </c>
      <c r="CB9" s="69" t="s">
        <v>186</v>
      </c>
      <c r="CC9" s="69"/>
      <c r="CD9" s="71" t="s">
        <v>300</v>
      </c>
      <c r="CE9" s="69" t="s">
        <v>186</v>
      </c>
      <c r="CF9" s="69" t="s">
        <v>186</v>
      </c>
      <c r="CG9" s="69"/>
      <c r="CH9" s="71" t="s">
        <v>300</v>
      </c>
      <c r="CI9" s="69" t="s">
        <v>186</v>
      </c>
      <c r="CJ9" s="69" t="s">
        <v>186</v>
      </c>
      <c r="CK9" s="69"/>
      <c r="CL9" s="72" t="s">
        <v>186</v>
      </c>
      <c r="CM9" s="69" t="s">
        <v>186</v>
      </c>
      <c r="CN9" s="69" t="s">
        <v>186</v>
      </c>
      <c r="CO9" s="69"/>
      <c r="CP9" s="71" t="s">
        <v>300</v>
      </c>
      <c r="CQ9" s="69" t="s">
        <v>186</v>
      </c>
      <c r="CR9" s="69" t="s">
        <v>186</v>
      </c>
      <c r="CS9" s="69"/>
      <c r="CT9" s="71" t="s">
        <v>300</v>
      </c>
      <c r="CU9" s="69" t="s">
        <v>186</v>
      </c>
      <c r="CV9" s="69" t="s">
        <v>186</v>
      </c>
      <c r="CW9" s="69"/>
      <c r="CX9" s="71" t="s">
        <v>300</v>
      </c>
      <c r="CY9" s="69" t="s">
        <v>186</v>
      </c>
      <c r="CZ9" s="69" t="s">
        <v>186</v>
      </c>
      <c r="DA9" s="69"/>
      <c r="DB9" s="71" t="s">
        <v>300</v>
      </c>
      <c r="DC9" s="69" t="s">
        <v>186</v>
      </c>
      <c r="DD9" s="69" t="s">
        <v>186</v>
      </c>
      <c r="DE9" s="69"/>
      <c r="DF9" s="72" t="s">
        <v>186</v>
      </c>
      <c r="DG9" s="69" t="s">
        <v>186</v>
      </c>
      <c r="DH9" s="69" t="s">
        <v>186</v>
      </c>
      <c r="DI9" s="69"/>
      <c r="DJ9" s="71" t="s">
        <v>300</v>
      </c>
      <c r="DK9" s="69" t="s">
        <v>186</v>
      </c>
      <c r="DL9" s="69" t="s">
        <v>186</v>
      </c>
      <c r="DM9" s="69"/>
      <c r="DN9" s="71" t="s">
        <v>300</v>
      </c>
      <c r="DO9" s="69" t="s">
        <v>186</v>
      </c>
      <c r="DP9" s="69" t="s">
        <v>186</v>
      </c>
      <c r="DQ9" s="69"/>
      <c r="DR9" s="71" t="s">
        <v>300</v>
      </c>
      <c r="DS9" s="69" t="s">
        <v>186</v>
      </c>
      <c r="DT9" s="69" t="s">
        <v>186</v>
      </c>
      <c r="DU9" s="69"/>
      <c r="DV9" s="71" t="s">
        <v>300</v>
      </c>
      <c r="DW9" s="69" t="s">
        <v>186</v>
      </c>
      <c r="DX9" s="69" t="s">
        <v>186</v>
      </c>
      <c r="DY9" s="69"/>
      <c r="DZ9" s="72" t="s">
        <v>186</v>
      </c>
    </row>
    <row r="10" spans="1:130" ht="19.5" customHeight="1">
      <c r="A10" s="69">
        <v>3</v>
      </c>
      <c r="B10" s="94" t="s">
        <v>19</v>
      </c>
      <c r="C10" s="70" t="s">
        <v>321</v>
      </c>
      <c r="D10" s="69" t="s">
        <v>692</v>
      </c>
      <c r="E10" s="69" t="s">
        <v>1996</v>
      </c>
      <c r="F10" s="69" t="s">
        <v>186</v>
      </c>
      <c r="G10" s="69" t="s">
        <v>186</v>
      </c>
      <c r="H10" s="69"/>
      <c r="I10" s="69" t="s">
        <v>697</v>
      </c>
      <c r="J10" s="69"/>
      <c r="K10" s="69" t="s">
        <v>297</v>
      </c>
      <c r="L10" s="69" t="s">
        <v>298</v>
      </c>
      <c r="M10" s="69" t="s">
        <v>303</v>
      </c>
      <c r="N10" s="71" t="s">
        <v>300</v>
      </c>
      <c r="O10" s="69" t="s">
        <v>297</v>
      </c>
      <c r="P10" s="69" t="s">
        <v>298</v>
      </c>
      <c r="Q10" s="69" t="s">
        <v>301</v>
      </c>
      <c r="R10" s="71" t="s">
        <v>300</v>
      </c>
      <c r="S10" s="69" t="s">
        <v>186</v>
      </c>
      <c r="T10" s="69" t="s">
        <v>186</v>
      </c>
      <c r="U10" s="69"/>
      <c r="V10" s="71" t="s">
        <v>300</v>
      </c>
      <c r="W10" s="69" t="s">
        <v>186</v>
      </c>
      <c r="X10" s="69" t="s">
        <v>186</v>
      </c>
      <c r="Y10" s="69"/>
      <c r="Z10" s="71" t="s">
        <v>300</v>
      </c>
      <c r="AA10" s="69" t="s">
        <v>186</v>
      </c>
      <c r="AB10" s="69" t="s">
        <v>186</v>
      </c>
      <c r="AC10" s="69"/>
      <c r="AD10" s="72" t="s">
        <v>186</v>
      </c>
      <c r="AE10" s="69" t="s">
        <v>186</v>
      </c>
      <c r="AF10" s="69" t="s">
        <v>186</v>
      </c>
      <c r="AG10" s="69"/>
      <c r="AH10" s="71" t="s">
        <v>300</v>
      </c>
      <c r="AI10" s="69" t="s">
        <v>186</v>
      </c>
      <c r="AJ10" s="69" t="s">
        <v>186</v>
      </c>
      <c r="AK10" s="69"/>
      <c r="AL10" s="71" t="s">
        <v>300</v>
      </c>
      <c r="AM10" s="69" t="s">
        <v>186</v>
      </c>
      <c r="AN10" s="69" t="s">
        <v>186</v>
      </c>
      <c r="AO10" s="69"/>
      <c r="AP10" s="71" t="s">
        <v>300</v>
      </c>
      <c r="AQ10" s="69" t="s">
        <v>186</v>
      </c>
      <c r="AR10" s="69" t="s">
        <v>186</v>
      </c>
      <c r="AS10" s="69"/>
      <c r="AT10" s="71" t="s">
        <v>300</v>
      </c>
      <c r="AU10" s="69" t="s">
        <v>186</v>
      </c>
      <c r="AV10" s="69" t="s">
        <v>186</v>
      </c>
      <c r="AW10" s="69"/>
      <c r="AX10" s="72" t="s">
        <v>186</v>
      </c>
      <c r="AY10" s="69" t="s">
        <v>186</v>
      </c>
      <c r="AZ10" s="69" t="s">
        <v>186</v>
      </c>
      <c r="BA10" s="69"/>
      <c r="BB10" s="71" t="s">
        <v>300</v>
      </c>
      <c r="BC10" s="69" t="s">
        <v>186</v>
      </c>
      <c r="BD10" s="69" t="s">
        <v>186</v>
      </c>
      <c r="BE10" s="69"/>
      <c r="BF10" s="71" t="s">
        <v>300</v>
      </c>
      <c r="BG10" s="69" t="s">
        <v>186</v>
      </c>
      <c r="BH10" s="69" t="s">
        <v>186</v>
      </c>
      <c r="BI10" s="69"/>
      <c r="BJ10" s="71" t="s">
        <v>300</v>
      </c>
      <c r="BK10" s="69" t="s">
        <v>186</v>
      </c>
      <c r="BL10" s="69" t="s">
        <v>186</v>
      </c>
      <c r="BM10" s="69"/>
      <c r="BN10" s="71" t="s">
        <v>300</v>
      </c>
      <c r="BO10" s="69" t="s">
        <v>186</v>
      </c>
      <c r="BP10" s="69" t="s">
        <v>186</v>
      </c>
      <c r="BQ10" s="69"/>
      <c r="BR10" s="72" t="s">
        <v>186</v>
      </c>
      <c r="BS10" s="69" t="s">
        <v>186</v>
      </c>
      <c r="BT10" s="69" t="s">
        <v>186</v>
      </c>
      <c r="BU10" s="69"/>
      <c r="BV10" s="71" t="s">
        <v>300</v>
      </c>
      <c r="BW10" s="69" t="s">
        <v>186</v>
      </c>
      <c r="BX10" s="69" t="s">
        <v>186</v>
      </c>
      <c r="BY10" s="69"/>
      <c r="BZ10" s="71" t="s">
        <v>300</v>
      </c>
      <c r="CA10" s="69" t="s">
        <v>186</v>
      </c>
      <c r="CB10" s="69" t="s">
        <v>186</v>
      </c>
      <c r="CC10" s="69"/>
      <c r="CD10" s="71" t="s">
        <v>300</v>
      </c>
      <c r="CE10" s="69" t="s">
        <v>186</v>
      </c>
      <c r="CF10" s="69" t="s">
        <v>186</v>
      </c>
      <c r="CG10" s="69"/>
      <c r="CH10" s="71" t="s">
        <v>300</v>
      </c>
      <c r="CI10" s="69" t="s">
        <v>186</v>
      </c>
      <c r="CJ10" s="69" t="s">
        <v>186</v>
      </c>
      <c r="CK10" s="69"/>
      <c r="CL10" s="72" t="s">
        <v>186</v>
      </c>
      <c r="CM10" s="69" t="s">
        <v>186</v>
      </c>
      <c r="CN10" s="69" t="s">
        <v>186</v>
      </c>
      <c r="CO10" s="69"/>
      <c r="CP10" s="71" t="s">
        <v>300</v>
      </c>
      <c r="CQ10" s="69" t="s">
        <v>186</v>
      </c>
      <c r="CR10" s="69" t="s">
        <v>186</v>
      </c>
      <c r="CS10" s="69"/>
      <c r="CT10" s="71" t="s">
        <v>300</v>
      </c>
      <c r="CU10" s="69" t="s">
        <v>186</v>
      </c>
      <c r="CV10" s="69" t="s">
        <v>186</v>
      </c>
      <c r="CW10" s="69"/>
      <c r="CX10" s="71" t="s">
        <v>300</v>
      </c>
      <c r="CY10" s="69" t="s">
        <v>186</v>
      </c>
      <c r="CZ10" s="69" t="s">
        <v>186</v>
      </c>
      <c r="DA10" s="69"/>
      <c r="DB10" s="71" t="s">
        <v>300</v>
      </c>
      <c r="DC10" s="69" t="s">
        <v>186</v>
      </c>
      <c r="DD10" s="69" t="s">
        <v>186</v>
      </c>
      <c r="DE10" s="69"/>
      <c r="DF10" s="72" t="s">
        <v>186</v>
      </c>
      <c r="DG10" s="69" t="s">
        <v>186</v>
      </c>
      <c r="DH10" s="69" t="s">
        <v>186</v>
      </c>
      <c r="DI10" s="69"/>
      <c r="DJ10" s="71" t="s">
        <v>300</v>
      </c>
      <c r="DK10" s="69" t="s">
        <v>186</v>
      </c>
      <c r="DL10" s="69" t="s">
        <v>186</v>
      </c>
      <c r="DM10" s="69"/>
      <c r="DN10" s="71" t="s">
        <v>300</v>
      </c>
      <c r="DO10" s="69" t="s">
        <v>186</v>
      </c>
      <c r="DP10" s="69" t="s">
        <v>186</v>
      </c>
      <c r="DQ10" s="69"/>
      <c r="DR10" s="71" t="s">
        <v>300</v>
      </c>
      <c r="DS10" s="69" t="s">
        <v>186</v>
      </c>
      <c r="DT10" s="69" t="s">
        <v>186</v>
      </c>
      <c r="DU10" s="69"/>
      <c r="DV10" s="71" t="s">
        <v>300</v>
      </c>
      <c r="DW10" s="69" t="s">
        <v>186</v>
      </c>
      <c r="DX10" s="69" t="s">
        <v>186</v>
      </c>
      <c r="DY10" s="69"/>
      <c r="DZ10" s="72" t="s">
        <v>186</v>
      </c>
    </row>
    <row r="11" spans="1:130" ht="19.5" customHeight="1">
      <c r="A11" s="69">
        <v>4</v>
      </c>
      <c r="B11" s="94" t="s">
        <v>19</v>
      </c>
      <c r="C11" s="70" t="s">
        <v>310</v>
      </c>
      <c r="D11" s="69" t="s">
        <v>692</v>
      </c>
      <c r="E11" s="69" t="s">
        <v>1995</v>
      </c>
      <c r="F11" s="69" t="s">
        <v>186</v>
      </c>
      <c r="G11" s="69" t="s">
        <v>186</v>
      </c>
      <c r="H11" s="69"/>
      <c r="I11" s="69" t="s">
        <v>697</v>
      </c>
      <c r="J11" s="69"/>
      <c r="K11" s="69" t="s">
        <v>297</v>
      </c>
      <c r="L11" s="69" t="s">
        <v>298</v>
      </c>
      <c r="M11" s="69" t="s">
        <v>304</v>
      </c>
      <c r="N11" s="71" t="s">
        <v>300</v>
      </c>
      <c r="O11" s="69" t="s">
        <v>297</v>
      </c>
      <c r="P11" s="69" t="s">
        <v>298</v>
      </c>
      <c r="Q11" s="69" t="s">
        <v>301</v>
      </c>
      <c r="R11" s="71" t="s">
        <v>300</v>
      </c>
      <c r="S11" s="69" t="s">
        <v>186</v>
      </c>
      <c r="T11" s="69" t="s">
        <v>186</v>
      </c>
      <c r="U11" s="69"/>
      <c r="V11" s="71" t="s">
        <v>300</v>
      </c>
      <c r="W11" s="69" t="s">
        <v>186</v>
      </c>
      <c r="X11" s="69" t="s">
        <v>186</v>
      </c>
      <c r="Y11" s="69"/>
      <c r="Z11" s="71" t="s">
        <v>300</v>
      </c>
      <c r="AA11" s="69" t="s">
        <v>186</v>
      </c>
      <c r="AB11" s="69" t="s">
        <v>186</v>
      </c>
      <c r="AC11" s="69"/>
      <c r="AD11" s="72" t="s">
        <v>186</v>
      </c>
      <c r="AE11" s="69" t="s">
        <v>186</v>
      </c>
      <c r="AF11" s="69" t="s">
        <v>186</v>
      </c>
      <c r="AG11" s="69"/>
      <c r="AH11" s="71" t="s">
        <v>300</v>
      </c>
      <c r="AI11" s="69" t="s">
        <v>186</v>
      </c>
      <c r="AJ11" s="69" t="s">
        <v>186</v>
      </c>
      <c r="AK11" s="69"/>
      <c r="AL11" s="71" t="s">
        <v>300</v>
      </c>
      <c r="AM11" s="69" t="s">
        <v>186</v>
      </c>
      <c r="AN11" s="69" t="s">
        <v>186</v>
      </c>
      <c r="AO11" s="69"/>
      <c r="AP11" s="71" t="s">
        <v>300</v>
      </c>
      <c r="AQ11" s="69" t="s">
        <v>186</v>
      </c>
      <c r="AR11" s="69" t="s">
        <v>186</v>
      </c>
      <c r="AS11" s="69"/>
      <c r="AT11" s="71" t="s">
        <v>300</v>
      </c>
      <c r="AU11" s="69" t="s">
        <v>186</v>
      </c>
      <c r="AV11" s="69" t="s">
        <v>186</v>
      </c>
      <c r="AW11" s="69"/>
      <c r="AX11" s="72" t="s">
        <v>186</v>
      </c>
      <c r="AY11" s="69" t="s">
        <v>186</v>
      </c>
      <c r="AZ11" s="69" t="s">
        <v>186</v>
      </c>
      <c r="BA11" s="69"/>
      <c r="BB11" s="71" t="s">
        <v>300</v>
      </c>
      <c r="BC11" s="69" t="s">
        <v>186</v>
      </c>
      <c r="BD11" s="69" t="s">
        <v>186</v>
      </c>
      <c r="BE11" s="69"/>
      <c r="BF11" s="71" t="s">
        <v>300</v>
      </c>
      <c r="BG11" s="69" t="s">
        <v>186</v>
      </c>
      <c r="BH11" s="69" t="s">
        <v>186</v>
      </c>
      <c r="BI11" s="69"/>
      <c r="BJ11" s="71" t="s">
        <v>300</v>
      </c>
      <c r="BK11" s="69" t="s">
        <v>186</v>
      </c>
      <c r="BL11" s="69" t="s">
        <v>186</v>
      </c>
      <c r="BM11" s="69"/>
      <c r="BN11" s="71" t="s">
        <v>300</v>
      </c>
      <c r="BO11" s="69" t="s">
        <v>186</v>
      </c>
      <c r="BP11" s="69" t="s">
        <v>186</v>
      </c>
      <c r="BQ11" s="69"/>
      <c r="BR11" s="72" t="s">
        <v>186</v>
      </c>
      <c r="BS11" s="69" t="s">
        <v>186</v>
      </c>
      <c r="BT11" s="69" t="s">
        <v>186</v>
      </c>
      <c r="BU11" s="69"/>
      <c r="BV11" s="71" t="s">
        <v>300</v>
      </c>
      <c r="BW11" s="69" t="s">
        <v>186</v>
      </c>
      <c r="BX11" s="69" t="s">
        <v>186</v>
      </c>
      <c r="BY11" s="69"/>
      <c r="BZ11" s="71" t="s">
        <v>300</v>
      </c>
      <c r="CA11" s="69" t="s">
        <v>186</v>
      </c>
      <c r="CB11" s="69" t="s">
        <v>186</v>
      </c>
      <c r="CC11" s="69"/>
      <c r="CD11" s="71" t="s">
        <v>300</v>
      </c>
      <c r="CE11" s="69" t="s">
        <v>186</v>
      </c>
      <c r="CF11" s="69" t="s">
        <v>186</v>
      </c>
      <c r="CG11" s="69"/>
      <c r="CH11" s="71" t="s">
        <v>300</v>
      </c>
      <c r="CI11" s="69" t="s">
        <v>186</v>
      </c>
      <c r="CJ11" s="69" t="s">
        <v>186</v>
      </c>
      <c r="CK11" s="69"/>
      <c r="CL11" s="72" t="s">
        <v>186</v>
      </c>
      <c r="CM11" s="69" t="s">
        <v>186</v>
      </c>
      <c r="CN11" s="69" t="s">
        <v>186</v>
      </c>
      <c r="CO11" s="69"/>
      <c r="CP11" s="71" t="s">
        <v>300</v>
      </c>
      <c r="CQ11" s="69" t="s">
        <v>186</v>
      </c>
      <c r="CR11" s="69" t="s">
        <v>186</v>
      </c>
      <c r="CS11" s="69"/>
      <c r="CT11" s="71" t="s">
        <v>300</v>
      </c>
      <c r="CU11" s="69" t="s">
        <v>186</v>
      </c>
      <c r="CV11" s="69" t="s">
        <v>186</v>
      </c>
      <c r="CW11" s="69"/>
      <c r="CX11" s="71" t="s">
        <v>300</v>
      </c>
      <c r="CY11" s="69" t="s">
        <v>186</v>
      </c>
      <c r="CZ11" s="69" t="s">
        <v>186</v>
      </c>
      <c r="DA11" s="69"/>
      <c r="DB11" s="71" t="s">
        <v>300</v>
      </c>
      <c r="DC11" s="69" t="s">
        <v>186</v>
      </c>
      <c r="DD11" s="69" t="s">
        <v>186</v>
      </c>
      <c r="DE11" s="69"/>
      <c r="DF11" s="72" t="s">
        <v>186</v>
      </c>
      <c r="DG11" s="69" t="s">
        <v>186</v>
      </c>
      <c r="DH11" s="69" t="s">
        <v>186</v>
      </c>
      <c r="DI11" s="69"/>
      <c r="DJ11" s="71" t="s">
        <v>300</v>
      </c>
      <c r="DK11" s="69" t="s">
        <v>186</v>
      </c>
      <c r="DL11" s="69" t="s">
        <v>186</v>
      </c>
      <c r="DM11" s="69"/>
      <c r="DN11" s="71" t="s">
        <v>300</v>
      </c>
      <c r="DO11" s="69" t="s">
        <v>186</v>
      </c>
      <c r="DP11" s="69" t="s">
        <v>186</v>
      </c>
      <c r="DQ11" s="69"/>
      <c r="DR11" s="71" t="s">
        <v>300</v>
      </c>
      <c r="DS11" s="69" t="s">
        <v>186</v>
      </c>
      <c r="DT11" s="69" t="s">
        <v>186</v>
      </c>
      <c r="DU11" s="69"/>
      <c r="DV11" s="71" t="s">
        <v>300</v>
      </c>
      <c r="DW11" s="69" t="s">
        <v>186</v>
      </c>
      <c r="DX11" s="69" t="s">
        <v>186</v>
      </c>
      <c r="DY11" s="69"/>
      <c r="DZ11" s="72" t="s">
        <v>186</v>
      </c>
    </row>
    <row r="12" spans="1:130" ht="19.5" customHeight="1">
      <c r="A12" s="69">
        <v>5</v>
      </c>
      <c r="B12" s="94" t="s">
        <v>19</v>
      </c>
      <c r="C12" s="70"/>
      <c r="D12" s="69" t="s">
        <v>692</v>
      </c>
      <c r="E12" s="69" t="s">
        <v>696</v>
      </c>
      <c r="F12" s="69" t="s">
        <v>186</v>
      </c>
      <c r="G12" s="69" t="s">
        <v>186</v>
      </c>
      <c r="H12" s="69"/>
      <c r="I12" s="69" t="s">
        <v>186</v>
      </c>
      <c r="J12" s="69"/>
      <c r="K12" s="69" t="s">
        <v>186</v>
      </c>
      <c r="L12" s="69" t="s">
        <v>186</v>
      </c>
      <c r="M12" s="69"/>
      <c r="N12" s="71" t="s">
        <v>300</v>
      </c>
      <c r="O12" s="69" t="s">
        <v>186</v>
      </c>
      <c r="P12" s="69" t="s">
        <v>186</v>
      </c>
      <c r="Q12" s="69" t="s">
        <v>301</v>
      </c>
      <c r="R12" s="71" t="s">
        <v>300</v>
      </c>
      <c r="S12" s="69" t="s">
        <v>186</v>
      </c>
      <c r="T12" s="69" t="s">
        <v>186</v>
      </c>
      <c r="U12" s="69"/>
      <c r="V12" s="71" t="s">
        <v>300</v>
      </c>
      <c r="W12" s="69" t="s">
        <v>186</v>
      </c>
      <c r="X12" s="69" t="s">
        <v>186</v>
      </c>
      <c r="Y12" s="69"/>
      <c r="Z12" s="71" t="s">
        <v>300</v>
      </c>
      <c r="AA12" s="69" t="s">
        <v>186</v>
      </c>
      <c r="AB12" s="69" t="s">
        <v>186</v>
      </c>
      <c r="AC12" s="69"/>
      <c r="AD12" s="72" t="s">
        <v>186</v>
      </c>
      <c r="AE12" s="69" t="s">
        <v>186</v>
      </c>
      <c r="AF12" s="69" t="s">
        <v>186</v>
      </c>
      <c r="AG12" s="69"/>
      <c r="AH12" s="71" t="s">
        <v>300</v>
      </c>
      <c r="AI12" s="69" t="s">
        <v>186</v>
      </c>
      <c r="AJ12" s="69" t="s">
        <v>186</v>
      </c>
      <c r="AK12" s="69"/>
      <c r="AL12" s="71" t="s">
        <v>300</v>
      </c>
      <c r="AM12" s="69" t="s">
        <v>186</v>
      </c>
      <c r="AN12" s="69" t="s">
        <v>186</v>
      </c>
      <c r="AO12" s="69"/>
      <c r="AP12" s="71" t="s">
        <v>300</v>
      </c>
      <c r="AQ12" s="69" t="s">
        <v>186</v>
      </c>
      <c r="AR12" s="69" t="s">
        <v>186</v>
      </c>
      <c r="AS12" s="69"/>
      <c r="AT12" s="71" t="s">
        <v>300</v>
      </c>
      <c r="AU12" s="69" t="s">
        <v>186</v>
      </c>
      <c r="AV12" s="69" t="s">
        <v>186</v>
      </c>
      <c r="AW12" s="69"/>
      <c r="AX12" s="72" t="s">
        <v>186</v>
      </c>
      <c r="AY12" s="69" t="s">
        <v>186</v>
      </c>
      <c r="AZ12" s="69" t="s">
        <v>186</v>
      </c>
      <c r="BA12" s="69"/>
      <c r="BB12" s="71" t="s">
        <v>300</v>
      </c>
      <c r="BC12" s="69" t="s">
        <v>186</v>
      </c>
      <c r="BD12" s="69" t="s">
        <v>186</v>
      </c>
      <c r="BE12" s="69"/>
      <c r="BF12" s="71" t="s">
        <v>300</v>
      </c>
      <c r="BG12" s="69" t="s">
        <v>186</v>
      </c>
      <c r="BH12" s="69" t="s">
        <v>186</v>
      </c>
      <c r="BI12" s="69"/>
      <c r="BJ12" s="71" t="s">
        <v>300</v>
      </c>
      <c r="BK12" s="69" t="s">
        <v>186</v>
      </c>
      <c r="BL12" s="69" t="s">
        <v>186</v>
      </c>
      <c r="BM12" s="69"/>
      <c r="BN12" s="71" t="s">
        <v>300</v>
      </c>
      <c r="BO12" s="69" t="s">
        <v>186</v>
      </c>
      <c r="BP12" s="69" t="s">
        <v>186</v>
      </c>
      <c r="BQ12" s="69"/>
      <c r="BR12" s="72" t="s">
        <v>186</v>
      </c>
      <c r="BS12" s="69" t="s">
        <v>186</v>
      </c>
      <c r="BT12" s="69" t="s">
        <v>186</v>
      </c>
      <c r="BU12" s="69"/>
      <c r="BV12" s="71" t="s">
        <v>300</v>
      </c>
      <c r="BW12" s="69" t="s">
        <v>186</v>
      </c>
      <c r="BX12" s="69" t="s">
        <v>186</v>
      </c>
      <c r="BY12" s="69"/>
      <c r="BZ12" s="71" t="s">
        <v>300</v>
      </c>
      <c r="CA12" s="69" t="s">
        <v>186</v>
      </c>
      <c r="CB12" s="69" t="s">
        <v>186</v>
      </c>
      <c r="CC12" s="69"/>
      <c r="CD12" s="71" t="s">
        <v>300</v>
      </c>
      <c r="CE12" s="69" t="s">
        <v>186</v>
      </c>
      <c r="CF12" s="69" t="s">
        <v>186</v>
      </c>
      <c r="CG12" s="69"/>
      <c r="CH12" s="71" t="s">
        <v>300</v>
      </c>
      <c r="CI12" s="69" t="s">
        <v>186</v>
      </c>
      <c r="CJ12" s="69" t="s">
        <v>186</v>
      </c>
      <c r="CK12" s="69"/>
      <c r="CL12" s="72" t="s">
        <v>186</v>
      </c>
      <c r="CM12" s="69" t="s">
        <v>186</v>
      </c>
      <c r="CN12" s="69" t="s">
        <v>186</v>
      </c>
      <c r="CO12" s="69"/>
      <c r="CP12" s="71" t="s">
        <v>300</v>
      </c>
      <c r="CQ12" s="69" t="s">
        <v>186</v>
      </c>
      <c r="CR12" s="69" t="s">
        <v>186</v>
      </c>
      <c r="CS12" s="69"/>
      <c r="CT12" s="71" t="s">
        <v>300</v>
      </c>
      <c r="CU12" s="69" t="s">
        <v>186</v>
      </c>
      <c r="CV12" s="69" t="s">
        <v>186</v>
      </c>
      <c r="CW12" s="69"/>
      <c r="CX12" s="71" t="s">
        <v>300</v>
      </c>
      <c r="CY12" s="69" t="s">
        <v>186</v>
      </c>
      <c r="CZ12" s="69" t="s">
        <v>186</v>
      </c>
      <c r="DA12" s="69"/>
      <c r="DB12" s="71" t="s">
        <v>300</v>
      </c>
      <c r="DC12" s="69" t="s">
        <v>186</v>
      </c>
      <c r="DD12" s="69" t="s">
        <v>186</v>
      </c>
      <c r="DE12" s="69"/>
      <c r="DF12" s="72" t="s">
        <v>186</v>
      </c>
      <c r="DG12" s="69" t="s">
        <v>186</v>
      </c>
      <c r="DH12" s="69" t="s">
        <v>186</v>
      </c>
      <c r="DI12" s="69"/>
      <c r="DJ12" s="71" t="s">
        <v>300</v>
      </c>
      <c r="DK12" s="69" t="s">
        <v>186</v>
      </c>
      <c r="DL12" s="69" t="s">
        <v>186</v>
      </c>
      <c r="DM12" s="69"/>
      <c r="DN12" s="71" t="s">
        <v>300</v>
      </c>
      <c r="DO12" s="69" t="s">
        <v>186</v>
      </c>
      <c r="DP12" s="69" t="s">
        <v>186</v>
      </c>
      <c r="DQ12" s="69"/>
      <c r="DR12" s="71" t="s">
        <v>300</v>
      </c>
      <c r="DS12" s="69" t="s">
        <v>186</v>
      </c>
      <c r="DT12" s="69" t="s">
        <v>186</v>
      </c>
      <c r="DU12" s="69"/>
      <c r="DV12" s="71" t="s">
        <v>300</v>
      </c>
      <c r="DW12" s="69" t="s">
        <v>186</v>
      </c>
      <c r="DX12" s="69" t="s">
        <v>186</v>
      </c>
      <c r="DY12" s="69"/>
      <c r="DZ12" s="72" t="s">
        <v>186</v>
      </c>
    </row>
    <row r="13" spans="1:130" ht="19.5" customHeight="1">
      <c r="A13" s="69">
        <v>6</v>
      </c>
      <c r="B13" s="94" t="s">
        <v>19</v>
      </c>
      <c r="C13" s="70"/>
      <c r="D13" s="69" t="s">
        <v>693</v>
      </c>
      <c r="E13" s="69" t="s">
        <v>186</v>
      </c>
      <c r="F13" s="69" t="s">
        <v>186</v>
      </c>
      <c r="G13" s="69" t="s">
        <v>186</v>
      </c>
      <c r="H13" s="69"/>
      <c r="I13" s="69" t="s">
        <v>186</v>
      </c>
      <c r="J13" s="69"/>
      <c r="K13" s="69" t="s">
        <v>186</v>
      </c>
      <c r="L13" s="69" t="s">
        <v>186</v>
      </c>
      <c r="M13" s="69"/>
      <c r="N13" s="71" t="s">
        <v>300</v>
      </c>
      <c r="O13" s="69" t="s">
        <v>186</v>
      </c>
      <c r="P13" s="69" t="s">
        <v>186</v>
      </c>
      <c r="Q13" s="69" t="s">
        <v>305</v>
      </c>
      <c r="R13" s="71" t="s">
        <v>300</v>
      </c>
      <c r="S13" s="69" t="s">
        <v>186</v>
      </c>
      <c r="T13" s="69" t="s">
        <v>186</v>
      </c>
      <c r="U13" s="69"/>
      <c r="V13" s="71" t="s">
        <v>300</v>
      </c>
      <c r="W13" s="69" t="s">
        <v>186</v>
      </c>
      <c r="X13" s="69" t="s">
        <v>186</v>
      </c>
      <c r="Y13" s="69"/>
      <c r="Z13" s="71" t="s">
        <v>300</v>
      </c>
      <c r="AA13" s="69" t="s">
        <v>186</v>
      </c>
      <c r="AB13" s="69" t="s">
        <v>186</v>
      </c>
      <c r="AC13" s="69"/>
      <c r="AD13" s="72" t="s">
        <v>186</v>
      </c>
      <c r="AE13" s="69" t="s">
        <v>186</v>
      </c>
      <c r="AF13" s="69" t="s">
        <v>186</v>
      </c>
      <c r="AG13" s="69"/>
      <c r="AH13" s="71" t="s">
        <v>300</v>
      </c>
      <c r="AI13" s="69" t="s">
        <v>186</v>
      </c>
      <c r="AJ13" s="69" t="s">
        <v>186</v>
      </c>
      <c r="AK13" s="69"/>
      <c r="AL13" s="71" t="s">
        <v>300</v>
      </c>
      <c r="AM13" s="69" t="s">
        <v>186</v>
      </c>
      <c r="AN13" s="69" t="s">
        <v>186</v>
      </c>
      <c r="AO13" s="69"/>
      <c r="AP13" s="71" t="s">
        <v>300</v>
      </c>
      <c r="AQ13" s="69" t="s">
        <v>186</v>
      </c>
      <c r="AR13" s="69" t="s">
        <v>186</v>
      </c>
      <c r="AS13" s="69"/>
      <c r="AT13" s="71" t="s">
        <v>300</v>
      </c>
      <c r="AU13" s="69" t="s">
        <v>186</v>
      </c>
      <c r="AV13" s="69" t="s">
        <v>186</v>
      </c>
      <c r="AW13" s="69"/>
      <c r="AX13" s="72" t="s">
        <v>186</v>
      </c>
      <c r="AY13" s="69" t="s">
        <v>186</v>
      </c>
      <c r="AZ13" s="69" t="s">
        <v>186</v>
      </c>
      <c r="BA13" s="69"/>
      <c r="BB13" s="71" t="s">
        <v>300</v>
      </c>
      <c r="BC13" s="69" t="s">
        <v>186</v>
      </c>
      <c r="BD13" s="69" t="s">
        <v>186</v>
      </c>
      <c r="BE13" s="69"/>
      <c r="BF13" s="71" t="s">
        <v>300</v>
      </c>
      <c r="BG13" s="69" t="s">
        <v>186</v>
      </c>
      <c r="BH13" s="69" t="s">
        <v>186</v>
      </c>
      <c r="BI13" s="69"/>
      <c r="BJ13" s="71" t="s">
        <v>300</v>
      </c>
      <c r="BK13" s="69" t="s">
        <v>186</v>
      </c>
      <c r="BL13" s="69" t="s">
        <v>186</v>
      </c>
      <c r="BM13" s="69"/>
      <c r="BN13" s="71" t="s">
        <v>300</v>
      </c>
      <c r="BO13" s="69" t="s">
        <v>186</v>
      </c>
      <c r="BP13" s="69" t="s">
        <v>186</v>
      </c>
      <c r="BQ13" s="69"/>
      <c r="BR13" s="72" t="s">
        <v>186</v>
      </c>
      <c r="BS13" s="69" t="s">
        <v>186</v>
      </c>
      <c r="BT13" s="69" t="s">
        <v>186</v>
      </c>
      <c r="BU13" s="69"/>
      <c r="BV13" s="71" t="s">
        <v>300</v>
      </c>
      <c r="BW13" s="69" t="s">
        <v>186</v>
      </c>
      <c r="BX13" s="69" t="s">
        <v>186</v>
      </c>
      <c r="BY13" s="69"/>
      <c r="BZ13" s="71" t="s">
        <v>300</v>
      </c>
      <c r="CA13" s="69" t="s">
        <v>186</v>
      </c>
      <c r="CB13" s="69" t="s">
        <v>186</v>
      </c>
      <c r="CC13" s="69"/>
      <c r="CD13" s="71" t="s">
        <v>300</v>
      </c>
      <c r="CE13" s="69" t="s">
        <v>186</v>
      </c>
      <c r="CF13" s="69" t="s">
        <v>186</v>
      </c>
      <c r="CG13" s="69"/>
      <c r="CH13" s="71" t="s">
        <v>300</v>
      </c>
      <c r="CI13" s="69" t="s">
        <v>186</v>
      </c>
      <c r="CJ13" s="69" t="s">
        <v>186</v>
      </c>
      <c r="CK13" s="69"/>
      <c r="CL13" s="72" t="s">
        <v>186</v>
      </c>
      <c r="CM13" s="69" t="s">
        <v>186</v>
      </c>
      <c r="CN13" s="69" t="s">
        <v>186</v>
      </c>
      <c r="CO13" s="69"/>
      <c r="CP13" s="71" t="s">
        <v>300</v>
      </c>
      <c r="CQ13" s="69" t="s">
        <v>186</v>
      </c>
      <c r="CR13" s="69" t="s">
        <v>186</v>
      </c>
      <c r="CS13" s="69"/>
      <c r="CT13" s="71" t="s">
        <v>300</v>
      </c>
      <c r="CU13" s="69" t="s">
        <v>186</v>
      </c>
      <c r="CV13" s="69" t="s">
        <v>186</v>
      </c>
      <c r="CW13" s="69"/>
      <c r="CX13" s="71" t="s">
        <v>300</v>
      </c>
      <c r="CY13" s="69" t="s">
        <v>186</v>
      </c>
      <c r="CZ13" s="69" t="s">
        <v>186</v>
      </c>
      <c r="DA13" s="69"/>
      <c r="DB13" s="71" t="s">
        <v>300</v>
      </c>
      <c r="DC13" s="69" t="s">
        <v>186</v>
      </c>
      <c r="DD13" s="69" t="s">
        <v>186</v>
      </c>
      <c r="DE13" s="69"/>
      <c r="DF13" s="72" t="s">
        <v>186</v>
      </c>
      <c r="DG13" s="69" t="s">
        <v>186</v>
      </c>
      <c r="DH13" s="69" t="s">
        <v>186</v>
      </c>
      <c r="DI13" s="69"/>
      <c r="DJ13" s="71" t="s">
        <v>300</v>
      </c>
      <c r="DK13" s="69" t="s">
        <v>186</v>
      </c>
      <c r="DL13" s="69" t="s">
        <v>186</v>
      </c>
      <c r="DM13" s="69"/>
      <c r="DN13" s="71" t="s">
        <v>300</v>
      </c>
      <c r="DO13" s="69" t="s">
        <v>186</v>
      </c>
      <c r="DP13" s="69" t="s">
        <v>186</v>
      </c>
      <c r="DQ13" s="69"/>
      <c r="DR13" s="71" t="s">
        <v>300</v>
      </c>
      <c r="DS13" s="69" t="s">
        <v>186</v>
      </c>
      <c r="DT13" s="69" t="s">
        <v>186</v>
      </c>
      <c r="DU13" s="69"/>
      <c r="DV13" s="71" t="s">
        <v>300</v>
      </c>
      <c r="DW13" s="69" t="s">
        <v>186</v>
      </c>
      <c r="DX13" s="69" t="s">
        <v>186</v>
      </c>
      <c r="DY13" s="69"/>
      <c r="DZ13" s="72" t="s">
        <v>186</v>
      </c>
    </row>
    <row r="14" spans="1:130" ht="19.5" customHeight="1">
      <c r="A14" s="69">
        <v>7</v>
      </c>
      <c r="B14" s="94" t="s">
        <v>512</v>
      </c>
      <c r="C14" s="70"/>
      <c r="D14" s="69" t="s">
        <v>662</v>
      </c>
      <c r="E14" s="69" t="s">
        <v>186</v>
      </c>
      <c r="F14" s="69" t="s">
        <v>186</v>
      </c>
      <c r="G14" s="69" t="s">
        <v>186</v>
      </c>
      <c r="H14" s="69"/>
      <c r="I14" s="69" t="s">
        <v>1760</v>
      </c>
      <c r="J14" s="69"/>
      <c r="K14" s="69" t="s">
        <v>186</v>
      </c>
      <c r="L14" s="69" t="s">
        <v>186</v>
      </c>
      <c r="M14" s="69"/>
      <c r="N14" s="71" t="s">
        <v>300</v>
      </c>
      <c r="O14" s="69" t="s">
        <v>186</v>
      </c>
      <c r="P14" s="69" t="s">
        <v>186</v>
      </c>
      <c r="Q14" s="69" t="s">
        <v>305</v>
      </c>
      <c r="R14" s="71" t="s">
        <v>300</v>
      </c>
      <c r="S14" s="69" t="s">
        <v>186</v>
      </c>
      <c r="T14" s="69" t="s">
        <v>186</v>
      </c>
      <c r="U14" s="69"/>
      <c r="V14" s="71" t="s">
        <v>300</v>
      </c>
      <c r="W14" s="69" t="s">
        <v>186</v>
      </c>
      <c r="X14" s="69" t="s">
        <v>186</v>
      </c>
      <c r="Y14" s="69"/>
      <c r="Z14" s="71" t="s">
        <v>300</v>
      </c>
      <c r="AA14" s="69" t="s">
        <v>186</v>
      </c>
      <c r="AB14" s="69" t="s">
        <v>186</v>
      </c>
      <c r="AC14" s="69"/>
      <c r="AD14" s="72" t="s">
        <v>186</v>
      </c>
      <c r="AE14" s="69" t="s">
        <v>186</v>
      </c>
      <c r="AF14" s="69" t="s">
        <v>186</v>
      </c>
      <c r="AG14" s="69"/>
      <c r="AH14" s="71" t="s">
        <v>300</v>
      </c>
      <c r="AI14" s="69" t="s">
        <v>186</v>
      </c>
      <c r="AJ14" s="69" t="s">
        <v>186</v>
      </c>
      <c r="AK14" s="69"/>
      <c r="AL14" s="71" t="s">
        <v>300</v>
      </c>
      <c r="AM14" s="69" t="s">
        <v>186</v>
      </c>
      <c r="AN14" s="69" t="s">
        <v>186</v>
      </c>
      <c r="AO14" s="69"/>
      <c r="AP14" s="71" t="s">
        <v>300</v>
      </c>
      <c r="AQ14" s="69" t="s">
        <v>186</v>
      </c>
      <c r="AR14" s="69" t="s">
        <v>186</v>
      </c>
      <c r="AS14" s="69"/>
      <c r="AT14" s="71" t="s">
        <v>300</v>
      </c>
      <c r="AU14" s="69" t="s">
        <v>186</v>
      </c>
      <c r="AV14" s="69" t="s">
        <v>186</v>
      </c>
      <c r="AW14" s="69"/>
      <c r="AX14" s="72" t="s">
        <v>186</v>
      </c>
      <c r="AY14" s="69" t="s">
        <v>186</v>
      </c>
      <c r="AZ14" s="69" t="s">
        <v>186</v>
      </c>
      <c r="BA14" s="69"/>
      <c r="BB14" s="71" t="s">
        <v>300</v>
      </c>
      <c r="BC14" s="69" t="s">
        <v>186</v>
      </c>
      <c r="BD14" s="69" t="s">
        <v>186</v>
      </c>
      <c r="BE14" s="69"/>
      <c r="BF14" s="71" t="s">
        <v>300</v>
      </c>
      <c r="BG14" s="69" t="s">
        <v>186</v>
      </c>
      <c r="BH14" s="69" t="s">
        <v>186</v>
      </c>
      <c r="BI14" s="69"/>
      <c r="BJ14" s="71" t="s">
        <v>300</v>
      </c>
      <c r="BK14" s="69" t="s">
        <v>186</v>
      </c>
      <c r="BL14" s="69" t="s">
        <v>186</v>
      </c>
      <c r="BM14" s="69"/>
      <c r="BN14" s="71" t="s">
        <v>300</v>
      </c>
      <c r="BO14" s="69" t="s">
        <v>186</v>
      </c>
      <c r="BP14" s="69" t="s">
        <v>186</v>
      </c>
      <c r="BQ14" s="69"/>
      <c r="BR14" s="72" t="s">
        <v>186</v>
      </c>
      <c r="BS14" s="69" t="s">
        <v>186</v>
      </c>
      <c r="BT14" s="69" t="s">
        <v>186</v>
      </c>
      <c r="BU14" s="69"/>
      <c r="BV14" s="71" t="s">
        <v>300</v>
      </c>
      <c r="BW14" s="69" t="s">
        <v>186</v>
      </c>
      <c r="BX14" s="69" t="s">
        <v>186</v>
      </c>
      <c r="BY14" s="69"/>
      <c r="BZ14" s="71" t="s">
        <v>300</v>
      </c>
      <c r="CA14" s="69" t="s">
        <v>186</v>
      </c>
      <c r="CB14" s="69" t="s">
        <v>186</v>
      </c>
      <c r="CC14" s="69"/>
      <c r="CD14" s="71" t="s">
        <v>300</v>
      </c>
      <c r="CE14" s="69" t="s">
        <v>186</v>
      </c>
      <c r="CF14" s="69" t="s">
        <v>186</v>
      </c>
      <c r="CG14" s="69"/>
      <c r="CH14" s="71" t="s">
        <v>300</v>
      </c>
      <c r="CI14" s="69" t="s">
        <v>186</v>
      </c>
      <c r="CJ14" s="69" t="s">
        <v>186</v>
      </c>
      <c r="CK14" s="69"/>
      <c r="CL14" s="72" t="s">
        <v>186</v>
      </c>
      <c r="CM14" s="69" t="s">
        <v>186</v>
      </c>
      <c r="CN14" s="69" t="s">
        <v>186</v>
      </c>
      <c r="CO14" s="69"/>
      <c r="CP14" s="71" t="s">
        <v>300</v>
      </c>
      <c r="CQ14" s="69" t="s">
        <v>186</v>
      </c>
      <c r="CR14" s="69" t="s">
        <v>186</v>
      </c>
      <c r="CS14" s="69"/>
      <c r="CT14" s="71" t="s">
        <v>300</v>
      </c>
      <c r="CU14" s="69" t="s">
        <v>186</v>
      </c>
      <c r="CV14" s="69" t="s">
        <v>186</v>
      </c>
      <c r="CW14" s="69"/>
      <c r="CX14" s="71" t="s">
        <v>300</v>
      </c>
      <c r="CY14" s="69" t="s">
        <v>186</v>
      </c>
      <c r="CZ14" s="69" t="s">
        <v>186</v>
      </c>
      <c r="DA14" s="69"/>
      <c r="DB14" s="71" t="s">
        <v>300</v>
      </c>
      <c r="DC14" s="69" t="s">
        <v>186</v>
      </c>
      <c r="DD14" s="69" t="s">
        <v>186</v>
      </c>
      <c r="DE14" s="69"/>
      <c r="DF14" s="72" t="s">
        <v>186</v>
      </c>
      <c r="DG14" s="69" t="s">
        <v>186</v>
      </c>
      <c r="DH14" s="69" t="s">
        <v>186</v>
      </c>
      <c r="DI14" s="69"/>
      <c r="DJ14" s="71" t="s">
        <v>300</v>
      </c>
      <c r="DK14" s="69" t="s">
        <v>186</v>
      </c>
      <c r="DL14" s="69" t="s">
        <v>186</v>
      </c>
      <c r="DM14" s="69"/>
      <c r="DN14" s="71" t="s">
        <v>300</v>
      </c>
      <c r="DO14" s="69" t="s">
        <v>186</v>
      </c>
      <c r="DP14" s="69" t="s">
        <v>186</v>
      </c>
      <c r="DQ14" s="69"/>
      <c r="DR14" s="71" t="s">
        <v>300</v>
      </c>
      <c r="DS14" s="69" t="s">
        <v>186</v>
      </c>
      <c r="DT14" s="69" t="s">
        <v>186</v>
      </c>
      <c r="DU14" s="69"/>
      <c r="DV14" s="71" t="s">
        <v>300</v>
      </c>
      <c r="DW14" s="69" t="s">
        <v>186</v>
      </c>
      <c r="DX14" s="69" t="s">
        <v>186</v>
      </c>
      <c r="DY14" s="69"/>
      <c r="DZ14" s="72" t="s">
        <v>186</v>
      </c>
    </row>
    <row r="15" spans="1:130" s="444" customFormat="1" ht="19.5" customHeight="1">
      <c r="A15" s="441" t="s">
        <v>306</v>
      </c>
      <c r="B15" s="442"/>
      <c r="C15" s="442"/>
      <c r="D15" s="442"/>
      <c r="E15" s="442"/>
      <c r="F15" s="442"/>
      <c r="G15" s="442"/>
      <c r="H15" s="442"/>
      <c r="I15" s="442"/>
      <c r="J15" s="442"/>
      <c r="K15" s="442"/>
      <c r="L15" s="442"/>
      <c r="M15" s="442"/>
      <c r="N15" s="442"/>
      <c r="O15" s="442"/>
      <c r="P15" s="442"/>
      <c r="Q15" s="442"/>
      <c r="R15" s="442"/>
      <c r="S15" s="442"/>
      <c r="T15" s="442"/>
      <c r="U15" s="442"/>
      <c r="V15" s="442"/>
      <c r="W15" s="442"/>
      <c r="X15" s="442"/>
      <c r="Y15" s="442"/>
      <c r="Z15" s="442"/>
      <c r="AA15" s="442"/>
      <c r="AB15" s="442"/>
      <c r="AC15" s="442"/>
      <c r="AD15" s="442"/>
      <c r="AE15" s="442"/>
      <c r="AF15" s="442"/>
      <c r="AG15" s="442"/>
      <c r="AH15" s="442"/>
      <c r="AI15" s="442"/>
      <c r="AJ15" s="442"/>
      <c r="AK15" s="442"/>
      <c r="AL15" s="442"/>
      <c r="AM15" s="442"/>
      <c r="AN15" s="442"/>
      <c r="AO15" s="442"/>
      <c r="AP15" s="442"/>
      <c r="AQ15" s="442"/>
      <c r="AR15" s="442"/>
      <c r="AS15" s="442"/>
      <c r="AT15" s="442"/>
      <c r="AU15" s="442"/>
      <c r="AV15" s="442"/>
      <c r="AW15" s="442"/>
      <c r="AX15" s="442"/>
      <c r="AY15" s="442"/>
      <c r="AZ15" s="442"/>
      <c r="BA15" s="442"/>
      <c r="BB15" s="442"/>
      <c r="BC15" s="442"/>
      <c r="BD15" s="442"/>
      <c r="BE15" s="442"/>
      <c r="BF15" s="442"/>
      <c r="BG15" s="442"/>
      <c r="BH15" s="442"/>
      <c r="BI15" s="442"/>
      <c r="BJ15" s="442"/>
      <c r="BK15" s="442"/>
      <c r="BL15" s="442"/>
      <c r="BM15" s="442"/>
      <c r="BN15" s="442"/>
      <c r="BO15" s="442"/>
      <c r="BP15" s="442"/>
      <c r="BQ15" s="442"/>
      <c r="BR15" s="443"/>
      <c r="BS15" s="442"/>
      <c r="BT15" s="442"/>
      <c r="BU15" s="442"/>
      <c r="BV15" s="442"/>
      <c r="BW15" s="442"/>
      <c r="BX15" s="442"/>
      <c r="BY15" s="442"/>
      <c r="BZ15" s="442"/>
      <c r="CA15" s="442"/>
      <c r="CB15" s="442"/>
      <c r="CC15" s="442"/>
      <c r="CD15" s="442"/>
      <c r="CE15" s="442"/>
      <c r="CF15" s="442"/>
      <c r="CG15" s="442"/>
      <c r="CH15" s="442"/>
      <c r="CI15" s="442"/>
      <c r="CJ15" s="442"/>
      <c r="CK15" s="442"/>
      <c r="CL15" s="442"/>
      <c r="CM15" s="442"/>
      <c r="CN15" s="442"/>
      <c r="CO15" s="442"/>
      <c r="CP15" s="442"/>
      <c r="CQ15" s="442"/>
      <c r="CR15" s="442"/>
      <c r="CS15" s="442"/>
      <c r="CT15" s="442"/>
      <c r="CU15" s="442"/>
      <c r="CV15" s="442"/>
      <c r="CW15" s="442"/>
      <c r="CX15" s="442"/>
      <c r="CY15" s="442"/>
      <c r="CZ15" s="442"/>
      <c r="DA15" s="442"/>
      <c r="DB15" s="442"/>
      <c r="DC15" s="442"/>
      <c r="DD15" s="442"/>
      <c r="DE15" s="442"/>
      <c r="DF15" s="442"/>
      <c r="DG15" s="442"/>
      <c r="DH15" s="442"/>
      <c r="DI15" s="442"/>
      <c r="DJ15" s="442"/>
      <c r="DK15" s="442"/>
      <c r="DL15" s="442"/>
      <c r="DM15" s="442"/>
      <c r="DN15" s="442"/>
      <c r="DO15" s="442"/>
      <c r="DP15" s="442"/>
      <c r="DQ15" s="442"/>
      <c r="DR15" s="442"/>
      <c r="DS15" s="442"/>
      <c r="DT15" s="442"/>
      <c r="DU15" s="442"/>
      <c r="DV15" s="442"/>
      <c r="DW15" s="442"/>
      <c r="DX15" s="442"/>
      <c r="DY15" s="442"/>
      <c r="DZ15" s="443"/>
    </row>
    <row r="16" spans="1:130" ht="19.5" customHeight="1">
      <c r="A16" s="69">
        <v>1</v>
      </c>
      <c r="B16" s="94" t="s">
        <v>186</v>
      </c>
      <c r="C16" s="69"/>
      <c r="D16" s="69" t="s">
        <v>662</v>
      </c>
      <c r="E16" s="69" t="s">
        <v>186</v>
      </c>
      <c r="F16" s="69" t="s">
        <v>186</v>
      </c>
      <c r="G16" s="69" t="s">
        <v>186</v>
      </c>
      <c r="H16" s="69"/>
      <c r="I16" s="69" t="s">
        <v>186</v>
      </c>
      <c r="J16" s="69"/>
      <c r="K16" s="69" t="s">
        <v>186</v>
      </c>
      <c r="L16" s="69" t="s">
        <v>186</v>
      </c>
      <c r="M16" s="69"/>
      <c r="N16" s="71" t="s">
        <v>300</v>
      </c>
      <c r="O16" s="69" t="s">
        <v>186</v>
      </c>
      <c r="P16" s="69" t="s">
        <v>186</v>
      </c>
      <c r="Q16" s="69"/>
      <c r="R16" s="71" t="s">
        <v>300</v>
      </c>
      <c r="S16" s="69" t="s">
        <v>186</v>
      </c>
      <c r="T16" s="69" t="s">
        <v>186</v>
      </c>
      <c r="U16" s="69"/>
      <c r="V16" s="71" t="s">
        <v>300</v>
      </c>
      <c r="W16" s="69" t="s">
        <v>186</v>
      </c>
      <c r="X16" s="69" t="s">
        <v>186</v>
      </c>
      <c r="Y16" s="69"/>
      <c r="Z16" s="71" t="s">
        <v>300</v>
      </c>
      <c r="AA16" s="69" t="s">
        <v>186</v>
      </c>
      <c r="AB16" s="69" t="s">
        <v>186</v>
      </c>
      <c r="AC16" s="69"/>
      <c r="AD16" s="72" t="s">
        <v>186</v>
      </c>
      <c r="AE16" s="69" t="s">
        <v>186</v>
      </c>
      <c r="AF16" s="69" t="s">
        <v>186</v>
      </c>
      <c r="AG16" s="69"/>
      <c r="AH16" s="71" t="s">
        <v>300</v>
      </c>
      <c r="AI16" s="69" t="s">
        <v>186</v>
      </c>
      <c r="AJ16" s="69" t="s">
        <v>186</v>
      </c>
      <c r="AK16" s="69"/>
      <c r="AL16" s="71" t="s">
        <v>300</v>
      </c>
      <c r="AM16" s="69" t="s">
        <v>186</v>
      </c>
      <c r="AN16" s="69" t="s">
        <v>186</v>
      </c>
      <c r="AO16" s="69"/>
      <c r="AP16" s="71" t="s">
        <v>300</v>
      </c>
      <c r="AQ16" s="69" t="s">
        <v>186</v>
      </c>
      <c r="AR16" s="69" t="s">
        <v>186</v>
      </c>
      <c r="AS16" s="69"/>
      <c r="AT16" s="71" t="s">
        <v>300</v>
      </c>
      <c r="AU16" s="69" t="s">
        <v>186</v>
      </c>
      <c r="AV16" s="69" t="s">
        <v>186</v>
      </c>
      <c r="AW16" s="69"/>
      <c r="AX16" s="72" t="s">
        <v>186</v>
      </c>
      <c r="AY16" s="69" t="s">
        <v>186</v>
      </c>
      <c r="AZ16" s="69" t="s">
        <v>186</v>
      </c>
      <c r="BA16" s="69"/>
      <c r="BB16" s="71" t="s">
        <v>300</v>
      </c>
      <c r="BC16" s="69" t="s">
        <v>186</v>
      </c>
      <c r="BD16" s="69" t="s">
        <v>186</v>
      </c>
      <c r="BE16" s="69"/>
      <c r="BF16" s="71" t="s">
        <v>300</v>
      </c>
      <c r="BG16" s="69" t="s">
        <v>186</v>
      </c>
      <c r="BH16" s="69" t="s">
        <v>186</v>
      </c>
      <c r="BI16" s="69"/>
      <c r="BJ16" s="71" t="s">
        <v>300</v>
      </c>
      <c r="BK16" s="69" t="s">
        <v>186</v>
      </c>
      <c r="BL16" s="69" t="s">
        <v>186</v>
      </c>
      <c r="BM16" s="69"/>
      <c r="BN16" s="71" t="s">
        <v>300</v>
      </c>
      <c r="BO16" s="69" t="s">
        <v>186</v>
      </c>
      <c r="BP16" s="69" t="s">
        <v>186</v>
      </c>
      <c r="BQ16" s="69"/>
      <c r="BR16" s="72" t="s">
        <v>186</v>
      </c>
      <c r="BS16" s="69" t="s">
        <v>186</v>
      </c>
      <c r="BT16" s="69" t="s">
        <v>186</v>
      </c>
      <c r="BU16" s="69"/>
      <c r="BV16" s="71" t="s">
        <v>300</v>
      </c>
      <c r="BW16" s="69" t="s">
        <v>186</v>
      </c>
      <c r="BX16" s="69" t="s">
        <v>186</v>
      </c>
      <c r="BY16" s="69"/>
      <c r="BZ16" s="71" t="s">
        <v>300</v>
      </c>
      <c r="CA16" s="69" t="s">
        <v>186</v>
      </c>
      <c r="CB16" s="69" t="s">
        <v>186</v>
      </c>
      <c r="CC16" s="69"/>
      <c r="CD16" s="71" t="s">
        <v>300</v>
      </c>
      <c r="CE16" s="69" t="s">
        <v>186</v>
      </c>
      <c r="CF16" s="69" t="s">
        <v>186</v>
      </c>
      <c r="CG16" s="69"/>
      <c r="CH16" s="71" t="s">
        <v>300</v>
      </c>
      <c r="CI16" s="69" t="s">
        <v>186</v>
      </c>
      <c r="CJ16" s="69" t="s">
        <v>186</v>
      </c>
      <c r="CK16" s="69"/>
      <c r="CL16" s="72" t="s">
        <v>186</v>
      </c>
      <c r="CM16" s="69" t="s">
        <v>186</v>
      </c>
      <c r="CN16" s="69" t="s">
        <v>186</v>
      </c>
      <c r="CO16" s="69"/>
      <c r="CP16" s="71" t="s">
        <v>300</v>
      </c>
      <c r="CQ16" s="69" t="s">
        <v>186</v>
      </c>
      <c r="CR16" s="69" t="s">
        <v>186</v>
      </c>
      <c r="CS16" s="69"/>
      <c r="CT16" s="71" t="s">
        <v>300</v>
      </c>
      <c r="CU16" s="69" t="s">
        <v>186</v>
      </c>
      <c r="CV16" s="69" t="s">
        <v>186</v>
      </c>
      <c r="CW16" s="69"/>
      <c r="CX16" s="71" t="s">
        <v>300</v>
      </c>
      <c r="CY16" s="69" t="s">
        <v>186</v>
      </c>
      <c r="CZ16" s="69" t="s">
        <v>186</v>
      </c>
      <c r="DA16" s="69"/>
      <c r="DB16" s="71" t="s">
        <v>300</v>
      </c>
      <c r="DC16" s="69" t="s">
        <v>186</v>
      </c>
      <c r="DD16" s="69" t="s">
        <v>186</v>
      </c>
      <c r="DE16" s="69"/>
      <c r="DF16" s="72" t="s">
        <v>186</v>
      </c>
      <c r="DG16" s="69" t="s">
        <v>186</v>
      </c>
      <c r="DH16" s="69" t="s">
        <v>186</v>
      </c>
      <c r="DI16" s="69"/>
      <c r="DJ16" s="71" t="s">
        <v>300</v>
      </c>
      <c r="DK16" s="69" t="s">
        <v>186</v>
      </c>
      <c r="DL16" s="69" t="s">
        <v>186</v>
      </c>
      <c r="DM16" s="69"/>
      <c r="DN16" s="71" t="s">
        <v>300</v>
      </c>
      <c r="DO16" s="69" t="s">
        <v>186</v>
      </c>
      <c r="DP16" s="69" t="s">
        <v>186</v>
      </c>
      <c r="DQ16" s="69"/>
      <c r="DR16" s="71" t="s">
        <v>300</v>
      </c>
      <c r="DS16" s="69" t="s">
        <v>186</v>
      </c>
      <c r="DT16" s="69" t="s">
        <v>186</v>
      </c>
      <c r="DU16" s="69"/>
      <c r="DV16" s="71" t="s">
        <v>300</v>
      </c>
      <c r="DW16" s="69" t="s">
        <v>186</v>
      </c>
      <c r="DX16" s="69" t="s">
        <v>186</v>
      </c>
      <c r="DY16" s="69"/>
      <c r="DZ16" s="72" t="s">
        <v>186</v>
      </c>
    </row>
    <row r="17" spans="1:130" ht="19.5" customHeight="1">
      <c r="A17" s="69">
        <v>2</v>
      </c>
      <c r="B17" s="94" t="s">
        <v>186</v>
      </c>
      <c r="C17" s="69"/>
      <c r="D17" s="69" t="s">
        <v>662</v>
      </c>
      <c r="E17" s="69" t="s">
        <v>186</v>
      </c>
      <c r="F17" s="69" t="s">
        <v>186</v>
      </c>
      <c r="G17" s="69" t="s">
        <v>186</v>
      </c>
      <c r="H17" s="69"/>
      <c r="I17" s="69" t="s">
        <v>186</v>
      </c>
      <c r="J17" s="69"/>
      <c r="K17" s="69" t="s">
        <v>186</v>
      </c>
      <c r="L17" s="69" t="s">
        <v>186</v>
      </c>
      <c r="M17" s="69"/>
      <c r="N17" s="71" t="s">
        <v>300</v>
      </c>
      <c r="O17" s="69" t="s">
        <v>186</v>
      </c>
      <c r="P17" s="69" t="s">
        <v>186</v>
      </c>
      <c r="Q17" s="69"/>
      <c r="R17" s="71" t="s">
        <v>300</v>
      </c>
      <c r="S17" s="69" t="s">
        <v>186</v>
      </c>
      <c r="T17" s="69" t="s">
        <v>186</v>
      </c>
      <c r="U17" s="69"/>
      <c r="V17" s="71" t="s">
        <v>300</v>
      </c>
      <c r="W17" s="69" t="s">
        <v>186</v>
      </c>
      <c r="X17" s="69" t="s">
        <v>186</v>
      </c>
      <c r="Y17" s="69"/>
      <c r="Z17" s="71" t="s">
        <v>300</v>
      </c>
      <c r="AA17" s="69" t="s">
        <v>186</v>
      </c>
      <c r="AB17" s="69" t="s">
        <v>186</v>
      </c>
      <c r="AC17" s="69"/>
      <c r="AD17" s="72" t="s">
        <v>186</v>
      </c>
      <c r="AE17" s="69" t="s">
        <v>186</v>
      </c>
      <c r="AF17" s="69" t="s">
        <v>186</v>
      </c>
      <c r="AG17" s="69"/>
      <c r="AH17" s="71" t="s">
        <v>300</v>
      </c>
      <c r="AI17" s="69" t="s">
        <v>186</v>
      </c>
      <c r="AJ17" s="69" t="s">
        <v>186</v>
      </c>
      <c r="AK17" s="69"/>
      <c r="AL17" s="71" t="s">
        <v>300</v>
      </c>
      <c r="AM17" s="69" t="s">
        <v>186</v>
      </c>
      <c r="AN17" s="69" t="s">
        <v>186</v>
      </c>
      <c r="AO17" s="69"/>
      <c r="AP17" s="71" t="s">
        <v>300</v>
      </c>
      <c r="AQ17" s="69" t="s">
        <v>186</v>
      </c>
      <c r="AR17" s="69" t="s">
        <v>186</v>
      </c>
      <c r="AS17" s="69"/>
      <c r="AT17" s="71" t="s">
        <v>300</v>
      </c>
      <c r="AU17" s="69" t="s">
        <v>186</v>
      </c>
      <c r="AV17" s="69" t="s">
        <v>186</v>
      </c>
      <c r="AW17" s="69"/>
      <c r="AX17" s="72" t="s">
        <v>186</v>
      </c>
      <c r="AY17" s="69" t="s">
        <v>186</v>
      </c>
      <c r="AZ17" s="69" t="s">
        <v>186</v>
      </c>
      <c r="BA17" s="69"/>
      <c r="BB17" s="71" t="s">
        <v>300</v>
      </c>
      <c r="BC17" s="69" t="s">
        <v>186</v>
      </c>
      <c r="BD17" s="69" t="s">
        <v>186</v>
      </c>
      <c r="BE17" s="69"/>
      <c r="BF17" s="71" t="s">
        <v>300</v>
      </c>
      <c r="BG17" s="69" t="s">
        <v>186</v>
      </c>
      <c r="BH17" s="69" t="s">
        <v>186</v>
      </c>
      <c r="BI17" s="69"/>
      <c r="BJ17" s="71" t="s">
        <v>300</v>
      </c>
      <c r="BK17" s="69" t="s">
        <v>186</v>
      </c>
      <c r="BL17" s="69" t="s">
        <v>186</v>
      </c>
      <c r="BM17" s="69"/>
      <c r="BN17" s="71" t="s">
        <v>300</v>
      </c>
      <c r="BO17" s="69" t="s">
        <v>186</v>
      </c>
      <c r="BP17" s="69" t="s">
        <v>186</v>
      </c>
      <c r="BQ17" s="69"/>
      <c r="BR17" s="72" t="s">
        <v>186</v>
      </c>
      <c r="BS17" s="69" t="s">
        <v>186</v>
      </c>
      <c r="BT17" s="69" t="s">
        <v>186</v>
      </c>
      <c r="BU17" s="69"/>
      <c r="BV17" s="71" t="s">
        <v>300</v>
      </c>
      <c r="BW17" s="69" t="s">
        <v>186</v>
      </c>
      <c r="BX17" s="69" t="s">
        <v>186</v>
      </c>
      <c r="BY17" s="69"/>
      <c r="BZ17" s="71" t="s">
        <v>300</v>
      </c>
      <c r="CA17" s="69" t="s">
        <v>186</v>
      </c>
      <c r="CB17" s="69" t="s">
        <v>186</v>
      </c>
      <c r="CC17" s="69"/>
      <c r="CD17" s="71" t="s">
        <v>300</v>
      </c>
      <c r="CE17" s="69" t="s">
        <v>186</v>
      </c>
      <c r="CF17" s="69" t="s">
        <v>186</v>
      </c>
      <c r="CG17" s="69"/>
      <c r="CH17" s="71" t="s">
        <v>300</v>
      </c>
      <c r="CI17" s="69" t="s">
        <v>186</v>
      </c>
      <c r="CJ17" s="69" t="s">
        <v>186</v>
      </c>
      <c r="CK17" s="69"/>
      <c r="CL17" s="72" t="s">
        <v>186</v>
      </c>
      <c r="CM17" s="69" t="s">
        <v>186</v>
      </c>
      <c r="CN17" s="69" t="s">
        <v>186</v>
      </c>
      <c r="CO17" s="69"/>
      <c r="CP17" s="71" t="s">
        <v>300</v>
      </c>
      <c r="CQ17" s="69" t="s">
        <v>186</v>
      </c>
      <c r="CR17" s="69" t="s">
        <v>186</v>
      </c>
      <c r="CS17" s="69"/>
      <c r="CT17" s="71" t="s">
        <v>300</v>
      </c>
      <c r="CU17" s="69" t="s">
        <v>186</v>
      </c>
      <c r="CV17" s="69" t="s">
        <v>186</v>
      </c>
      <c r="CW17" s="69"/>
      <c r="CX17" s="71" t="s">
        <v>300</v>
      </c>
      <c r="CY17" s="69" t="s">
        <v>186</v>
      </c>
      <c r="CZ17" s="69" t="s">
        <v>186</v>
      </c>
      <c r="DA17" s="69"/>
      <c r="DB17" s="71" t="s">
        <v>300</v>
      </c>
      <c r="DC17" s="69" t="s">
        <v>186</v>
      </c>
      <c r="DD17" s="69" t="s">
        <v>186</v>
      </c>
      <c r="DE17" s="69"/>
      <c r="DF17" s="72" t="s">
        <v>186</v>
      </c>
      <c r="DG17" s="69" t="s">
        <v>186</v>
      </c>
      <c r="DH17" s="69" t="s">
        <v>186</v>
      </c>
      <c r="DI17" s="69"/>
      <c r="DJ17" s="71" t="s">
        <v>300</v>
      </c>
      <c r="DK17" s="69" t="s">
        <v>186</v>
      </c>
      <c r="DL17" s="69" t="s">
        <v>186</v>
      </c>
      <c r="DM17" s="69"/>
      <c r="DN17" s="71" t="s">
        <v>300</v>
      </c>
      <c r="DO17" s="69" t="s">
        <v>186</v>
      </c>
      <c r="DP17" s="69" t="s">
        <v>186</v>
      </c>
      <c r="DQ17" s="69"/>
      <c r="DR17" s="71" t="s">
        <v>300</v>
      </c>
      <c r="DS17" s="69" t="s">
        <v>186</v>
      </c>
      <c r="DT17" s="69" t="s">
        <v>186</v>
      </c>
      <c r="DU17" s="69"/>
      <c r="DV17" s="71" t="s">
        <v>300</v>
      </c>
      <c r="DW17" s="69" t="s">
        <v>186</v>
      </c>
      <c r="DX17" s="69" t="s">
        <v>186</v>
      </c>
      <c r="DY17" s="69"/>
      <c r="DZ17" s="72" t="s">
        <v>186</v>
      </c>
    </row>
    <row r="18" spans="1:130" ht="19.5" customHeight="1">
      <c r="A18" s="69">
        <v>3</v>
      </c>
      <c r="B18" s="94" t="s">
        <v>186</v>
      </c>
      <c r="C18" s="69"/>
      <c r="D18" s="69" t="s">
        <v>662</v>
      </c>
      <c r="E18" s="69" t="s">
        <v>186</v>
      </c>
      <c r="F18" s="69" t="s">
        <v>186</v>
      </c>
      <c r="G18" s="69" t="s">
        <v>186</v>
      </c>
      <c r="H18" s="69"/>
      <c r="I18" s="69" t="s">
        <v>186</v>
      </c>
      <c r="J18" s="69"/>
      <c r="K18" s="69" t="s">
        <v>186</v>
      </c>
      <c r="L18" s="69" t="s">
        <v>186</v>
      </c>
      <c r="M18" s="69"/>
      <c r="N18" s="71" t="s">
        <v>300</v>
      </c>
      <c r="O18" s="69" t="s">
        <v>186</v>
      </c>
      <c r="P18" s="69" t="s">
        <v>186</v>
      </c>
      <c r="Q18" s="69"/>
      <c r="R18" s="71" t="s">
        <v>300</v>
      </c>
      <c r="S18" s="69" t="s">
        <v>186</v>
      </c>
      <c r="T18" s="69" t="s">
        <v>186</v>
      </c>
      <c r="U18" s="69"/>
      <c r="V18" s="71" t="s">
        <v>300</v>
      </c>
      <c r="W18" s="69" t="s">
        <v>186</v>
      </c>
      <c r="X18" s="69" t="s">
        <v>186</v>
      </c>
      <c r="Y18" s="69"/>
      <c r="Z18" s="71" t="s">
        <v>300</v>
      </c>
      <c r="AA18" s="69" t="s">
        <v>186</v>
      </c>
      <c r="AB18" s="69" t="s">
        <v>186</v>
      </c>
      <c r="AC18" s="69"/>
      <c r="AD18" s="72" t="s">
        <v>186</v>
      </c>
      <c r="AE18" s="69" t="s">
        <v>186</v>
      </c>
      <c r="AF18" s="69" t="s">
        <v>186</v>
      </c>
      <c r="AG18" s="69"/>
      <c r="AH18" s="71" t="s">
        <v>300</v>
      </c>
      <c r="AI18" s="69" t="s">
        <v>186</v>
      </c>
      <c r="AJ18" s="69" t="s">
        <v>186</v>
      </c>
      <c r="AK18" s="69"/>
      <c r="AL18" s="71" t="s">
        <v>300</v>
      </c>
      <c r="AM18" s="69" t="s">
        <v>186</v>
      </c>
      <c r="AN18" s="69" t="s">
        <v>186</v>
      </c>
      <c r="AO18" s="69"/>
      <c r="AP18" s="71" t="s">
        <v>300</v>
      </c>
      <c r="AQ18" s="69" t="s">
        <v>186</v>
      </c>
      <c r="AR18" s="69" t="s">
        <v>186</v>
      </c>
      <c r="AS18" s="69"/>
      <c r="AT18" s="71" t="s">
        <v>300</v>
      </c>
      <c r="AU18" s="69" t="s">
        <v>186</v>
      </c>
      <c r="AV18" s="69" t="s">
        <v>186</v>
      </c>
      <c r="AW18" s="69"/>
      <c r="AX18" s="72" t="s">
        <v>186</v>
      </c>
      <c r="AY18" s="69" t="s">
        <v>186</v>
      </c>
      <c r="AZ18" s="69" t="s">
        <v>186</v>
      </c>
      <c r="BA18" s="69"/>
      <c r="BB18" s="71" t="s">
        <v>300</v>
      </c>
      <c r="BC18" s="69" t="s">
        <v>186</v>
      </c>
      <c r="BD18" s="69" t="s">
        <v>186</v>
      </c>
      <c r="BE18" s="69"/>
      <c r="BF18" s="71" t="s">
        <v>300</v>
      </c>
      <c r="BG18" s="69" t="s">
        <v>186</v>
      </c>
      <c r="BH18" s="69" t="s">
        <v>186</v>
      </c>
      <c r="BI18" s="69"/>
      <c r="BJ18" s="71" t="s">
        <v>300</v>
      </c>
      <c r="BK18" s="69" t="s">
        <v>186</v>
      </c>
      <c r="BL18" s="69" t="s">
        <v>186</v>
      </c>
      <c r="BM18" s="69"/>
      <c r="BN18" s="71" t="s">
        <v>300</v>
      </c>
      <c r="BO18" s="69" t="s">
        <v>186</v>
      </c>
      <c r="BP18" s="69" t="s">
        <v>186</v>
      </c>
      <c r="BQ18" s="69"/>
      <c r="BR18" s="72" t="s">
        <v>186</v>
      </c>
      <c r="BS18" s="69" t="s">
        <v>186</v>
      </c>
      <c r="BT18" s="69" t="s">
        <v>186</v>
      </c>
      <c r="BU18" s="69"/>
      <c r="BV18" s="71" t="s">
        <v>300</v>
      </c>
      <c r="BW18" s="69" t="s">
        <v>186</v>
      </c>
      <c r="BX18" s="69" t="s">
        <v>186</v>
      </c>
      <c r="BY18" s="69"/>
      <c r="BZ18" s="71" t="s">
        <v>300</v>
      </c>
      <c r="CA18" s="69" t="s">
        <v>186</v>
      </c>
      <c r="CB18" s="69" t="s">
        <v>186</v>
      </c>
      <c r="CC18" s="69"/>
      <c r="CD18" s="71" t="s">
        <v>300</v>
      </c>
      <c r="CE18" s="69" t="s">
        <v>186</v>
      </c>
      <c r="CF18" s="69" t="s">
        <v>186</v>
      </c>
      <c r="CG18" s="69"/>
      <c r="CH18" s="71" t="s">
        <v>300</v>
      </c>
      <c r="CI18" s="69" t="s">
        <v>186</v>
      </c>
      <c r="CJ18" s="69" t="s">
        <v>186</v>
      </c>
      <c r="CK18" s="69"/>
      <c r="CL18" s="72" t="s">
        <v>186</v>
      </c>
      <c r="CM18" s="69" t="s">
        <v>186</v>
      </c>
      <c r="CN18" s="69" t="s">
        <v>186</v>
      </c>
      <c r="CO18" s="69"/>
      <c r="CP18" s="71" t="s">
        <v>300</v>
      </c>
      <c r="CQ18" s="69" t="s">
        <v>186</v>
      </c>
      <c r="CR18" s="69" t="s">
        <v>186</v>
      </c>
      <c r="CS18" s="69"/>
      <c r="CT18" s="71" t="s">
        <v>300</v>
      </c>
      <c r="CU18" s="69" t="s">
        <v>186</v>
      </c>
      <c r="CV18" s="69" t="s">
        <v>186</v>
      </c>
      <c r="CW18" s="69"/>
      <c r="CX18" s="71" t="s">
        <v>300</v>
      </c>
      <c r="CY18" s="69" t="s">
        <v>186</v>
      </c>
      <c r="CZ18" s="69" t="s">
        <v>186</v>
      </c>
      <c r="DA18" s="69"/>
      <c r="DB18" s="71" t="s">
        <v>300</v>
      </c>
      <c r="DC18" s="69" t="s">
        <v>186</v>
      </c>
      <c r="DD18" s="69" t="s">
        <v>186</v>
      </c>
      <c r="DE18" s="69"/>
      <c r="DF18" s="72" t="s">
        <v>186</v>
      </c>
      <c r="DG18" s="69" t="s">
        <v>186</v>
      </c>
      <c r="DH18" s="69" t="s">
        <v>186</v>
      </c>
      <c r="DI18" s="69"/>
      <c r="DJ18" s="71" t="s">
        <v>300</v>
      </c>
      <c r="DK18" s="69" t="s">
        <v>186</v>
      </c>
      <c r="DL18" s="69" t="s">
        <v>186</v>
      </c>
      <c r="DM18" s="69"/>
      <c r="DN18" s="71" t="s">
        <v>300</v>
      </c>
      <c r="DO18" s="69" t="s">
        <v>186</v>
      </c>
      <c r="DP18" s="69" t="s">
        <v>186</v>
      </c>
      <c r="DQ18" s="69"/>
      <c r="DR18" s="71" t="s">
        <v>300</v>
      </c>
      <c r="DS18" s="69" t="s">
        <v>186</v>
      </c>
      <c r="DT18" s="69" t="s">
        <v>186</v>
      </c>
      <c r="DU18" s="69"/>
      <c r="DV18" s="71" t="s">
        <v>300</v>
      </c>
      <c r="DW18" s="69" t="s">
        <v>186</v>
      </c>
      <c r="DX18" s="69" t="s">
        <v>186</v>
      </c>
      <c r="DY18" s="69"/>
      <c r="DZ18" s="72" t="s">
        <v>186</v>
      </c>
    </row>
    <row r="19" spans="1:130" ht="19.5" customHeight="1">
      <c r="A19" s="69">
        <v>4</v>
      </c>
      <c r="B19" s="94" t="s">
        <v>186</v>
      </c>
      <c r="C19" s="69"/>
      <c r="D19" s="69" t="s">
        <v>662</v>
      </c>
      <c r="E19" s="69" t="s">
        <v>186</v>
      </c>
      <c r="F19" s="69" t="s">
        <v>186</v>
      </c>
      <c r="G19" s="69" t="s">
        <v>186</v>
      </c>
      <c r="H19" s="69"/>
      <c r="I19" s="69" t="s">
        <v>186</v>
      </c>
      <c r="J19" s="69"/>
      <c r="K19" s="69" t="s">
        <v>186</v>
      </c>
      <c r="L19" s="69" t="s">
        <v>186</v>
      </c>
      <c r="M19" s="69"/>
      <c r="N19" s="71" t="s">
        <v>300</v>
      </c>
      <c r="O19" s="69" t="s">
        <v>186</v>
      </c>
      <c r="P19" s="69" t="s">
        <v>186</v>
      </c>
      <c r="Q19" s="69"/>
      <c r="R19" s="71" t="s">
        <v>300</v>
      </c>
      <c r="S19" s="69" t="s">
        <v>186</v>
      </c>
      <c r="T19" s="69" t="s">
        <v>186</v>
      </c>
      <c r="U19" s="69"/>
      <c r="V19" s="71" t="s">
        <v>300</v>
      </c>
      <c r="W19" s="69" t="s">
        <v>186</v>
      </c>
      <c r="X19" s="69" t="s">
        <v>186</v>
      </c>
      <c r="Y19" s="69"/>
      <c r="Z19" s="71" t="s">
        <v>300</v>
      </c>
      <c r="AA19" s="69" t="s">
        <v>186</v>
      </c>
      <c r="AB19" s="69" t="s">
        <v>186</v>
      </c>
      <c r="AC19" s="69"/>
      <c r="AD19" s="72" t="s">
        <v>186</v>
      </c>
      <c r="AE19" s="69" t="s">
        <v>186</v>
      </c>
      <c r="AF19" s="69" t="s">
        <v>186</v>
      </c>
      <c r="AG19" s="69"/>
      <c r="AH19" s="71" t="s">
        <v>300</v>
      </c>
      <c r="AI19" s="69" t="s">
        <v>186</v>
      </c>
      <c r="AJ19" s="69" t="s">
        <v>186</v>
      </c>
      <c r="AK19" s="69"/>
      <c r="AL19" s="71" t="s">
        <v>300</v>
      </c>
      <c r="AM19" s="69" t="s">
        <v>186</v>
      </c>
      <c r="AN19" s="69" t="s">
        <v>186</v>
      </c>
      <c r="AO19" s="69"/>
      <c r="AP19" s="71" t="s">
        <v>300</v>
      </c>
      <c r="AQ19" s="69" t="s">
        <v>186</v>
      </c>
      <c r="AR19" s="69" t="s">
        <v>186</v>
      </c>
      <c r="AS19" s="69"/>
      <c r="AT19" s="71" t="s">
        <v>300</v>
      </c>
      <c r="AU19" s="69" t="s">
        <v>186</v>
      </c>
      <c r="AV19" s="69" t="s">
        <v>186</v>
      </c>
      <c r="AW19" s="69"/>
      <c r="AX19" s="72" t="s">
        <v>186</v>
      </c>
      <c r="AY19" s="69" t="s">
        <v>186</v>
      </c>
      <c r="AZ19" s="69" t="s">
        <v>186</v>
      </c>
      <c r="BA19" s="69"/>
      <c r="BB19" s="71" t="s">
        <v>300</v>
      </c>
      <c r="BC19" s="69" t="s">
        <v>186</v>
      </c>
      <c r="BD19" s="69" t="s">
        <v>186</v>
      </c>
      <c r="BE19" s="69"/>
      <c r="BF19" s="71" t="s">
        <v>300</v>
      </c>
      <c r="BG19" s="69" t="s">
        <v>186</v>
      </c>
      <c r="BH19" s="69" t="s">
        <v>186</v>
      </c>
      <c r="BI19" s="69"/>
      <c r="BJ19" s="71" t="s">
        <v>300</v>
      </c>
      <c r="BK19" s="69" t="s">
        <v>186</v>
      </c>
      <c r="BL19" s="69" t="s">
        <v>186</v>
      </c>
      <c r="BM19" s="69"/>
      <c r="BN19" s="71" t="s">
        <v>300</v>
      </c>
      <c r="BO19" s="69" t="s">
        <v>186</v>
      </c>
      <c r="BP19" s="69" t="s">
        <v>186</v>
      </c>
      <c r="BQ19" s="69"/>
      <c r="BR19" s="72" t="s">
        <v>186</v>
      </c>
      <c r="BS19" s="69" t="s">
        <v>186</v>
      </c>
      <c r="BT19" s="69" t="s">
        <v>186</v>
      </c>
      <c r="BU19" s="69"/>
      <c r="BV19" s="71" t="s">
        <v>300</v>
      </c>
      <c r="BW19" s="69" t="s">
        <v>186</v>
      </c>
      <c r="BX19" s="69" t="s">
        <v>186</v>
      </c>
      <c r="BY19" s="69"/>
      <c r="BZ19" s="71" t="s">
        <v>300</v>
      </c>
      <c r="CA19" s="69" t="s">
        <v>186</v>
      </c>
      <c r="CB19" s="69" t="s">
        <v>186</v>
      </c>
      <c r="CC19" s="69"/>
      <c r="CD19" s="71" t="s">
        <v>300</v>
      </c>
      <c r="CE19" s="69" t="s">
        <v>186</v>
      </c>
      <c r="CF19" s="69" t="s">
        <v>186</v>
      </c>
      <c r="CG19" s="69"/>
      <c r="CH19" s="71" t="s">
        <v>300</v>
      </c>
      <c r="CI19" s="69" t="s">
        <v>186</v>
      </c>
      <c r="CJ19" s="69" t="s">
        <v>186</v>
      </c>
      <c r="CK19" s="69"/>
      <c r="CL19" s="72" t="s">
        <v>186</v>
      </c>
      <c r="CM19" s="69" t="s">
        <v>186</v>
      </c>
      <c r="CN19" s="69" t="s">
        <v>186</v>
      </c>
      <c r="CO19" s="69"/>
      <c r="CP19" s="71" t="s">
        <v>300</v>
      </c>
      <c r="CQ19" s="69" t="s">
        <v>186</v>
      </c>
      <c r="CR19" s="69" t="s">
        <v>186</v>
      </c>
      <c r="CS19" s="69"/>
      <c r="CT19" s="71" t="s">
        <v>300</v>
      </c>
      <c r="CU19" s="69" t="s">
        <v>186</v>
      </c>
      <c r="CV19" s="69" t="s">
        <v>186</v>
      </c>
      <c r="CW19" s="69"/>
      <c r="CX19" s="71" t="s">
        <v>300</v>
      </c>
      <c r="CY19" s="69" t="s">
        <v>186</v>
      </c>
      <c r="CZ19" s="69" t="s">
        <v>186</v>
      </c>
      <c r="DA19" s="69"/>
      <c r="DB19" s="71" t="s">
        <v>300</v>
      </c>
      <c r="DC19" s="69" t="s">
        <v>186</v>
      </c>
      <c r="DD19" s="69" t="s">
        <v>186</v>
      </c>
      <c r="DE19" s="69"/>
      <c r="DF19" s="72" t="s">
        <v>186</v>
      </c>
      <c r="DG19" s="69" t="s">
        <v>186</v>
      </c>
      <c r="DH19" s="69" t="s">
        <v>186</v>
      </c>
      <c r="DI19" s="69"/>
      <c r="DJ19" s="71" t="s">
        <v>300</v>
      </c>
      <c r="DK19" s="69" t="s">
        <v>186</v>
      </c>
      <c r="DL19" s="69" t="s">
        <v>186</v>
      </c>
      <c r="DM19" s="69"/>
      <c r="DN19" s="71" t="s">
        <v>300</v>
      </c>
      <c r="DO19" s="69" t="s">
        <v>186</v>
      </c>
      <c r="DP19" s="69" t="s">
        <v>186</v>
      </c>
      <c r="DQ19" s="69"/>
      <c r="DR19" s="71" t="s">
        <v>300</v>
      </c>
      <c r="DS19" s="69" t="s">
        <v>186</v>
      </c>
      <c r="DT19" s="69" t="s">
        <v>186</v>
      </c>
      <c r="DU19" s="69"/>
      <c r="DV19" s="71" t="s">
        <v>300</v>
      </c>
      <c r="DW19" s="69" t="s">
        <v>186</v>
      </c>
      <c r="DX19" s="69" t="s">
        <v>186</v>
      </c>
      <c r="DY19" s="69"/>
      <c r="DZ19" s="72" t="s">
        <v>186</v>
      </c>
    </row>
    <row r="20" spans="1:130" ht="19.5" customHeight="1">
      <c r="A20" s="69">
        <v>5</v>
      </c>
      <c r="B20" s="94" t="s">
        <v>186</v>
      </c>
      <c r="C20" s="69"/>
      <c r="D20" s="69" t="s">
        <v>662</v>
      </c>
      <c r="E20" s="69" t="s">
        <v>186</v>
      </c>
      <c r="F20" s="69" t="s">
        <v>186</v>
      </c>
      <c r="G20" s="69" t="s">
        <v>186</v>
      </c>
      <c r="H20" s="69"/>
      <c r="I20" s="69" t="s">
        <v>186</v>
      </c>
      <c r="J20" s="69"/>
      <c r="K20" s="69" t="s">
        <v>186</v>
      </c>
      <c r="L20" s="69" t="s">
        <v>186</v>
      </c>
      <c r="M20" s="69"/>
      <c r="N20" s="71" t="s">
        <v>300</v>
      </c>
      <c r="O20" s="69" t="s">
        <v>186</v>
      </c>
      <c r="P20" s="69" t="s">
        <v>186</v>
      </c>
      <c r="Q20" s="69"/>
      <c r="R20" s="71" t="s">
        <v>300</v>
      </c>
      <c r="S20" s="69" t="s">
        <v>186</v>
      </c>
      <c r="T20" s="69" t="s">
        <v>186</v>
      </c>
      <c r="U20" s="69"/>
      <c r="V20" s="71" t="s">
        <v>300</v>
      </c>
      <c r="W20" s="69" t="s">
        <v>186</v>
      </c>
      <c r="X20" s="69" t="s">
        <v>186</v>
      </c>
      <c r="Y20" s="69"/>
      <c r="Z20" s="71" t="s">
        <v>300</v>
      </c>
      <c r="AA20" s="69" t="s">
        <v>186</v>
      </c>
      <c r="AB20" s="69" t="s">
        <v>186</v>
      </c>
      <c r="AC20" s="69"/>
      <c r="AD20" s="72" t="s">
        <v>186</v>
      </c>
      <c r="AE20" s="69" t="s">
        <v>186</v>
      </c>
      <c r="AF20" s="69" t="s">
        <v>186</v>
      </c>
      <c r="AG20" s="69"/>
      <c r="AH20" s="71" t="s">
        <v>300</v>
      </c>
      <c r="AI20" s="69" t="s">
        <v>186</v>
      </c>
      <c r="AJ20" s="69" t="s">
        <v>186</v>
      </c>
      <c r="AK20" s="69"/>
      <c r="AL20" s="71" t="s">
        <v>300</v>
      </c>
      <c r="AM20" s="69" t="s">
        <v>186</v>
      </c>
      <c r="AN20" s="69" t="s">
        <v>186</v>
      </c>
      <c r="AO20" s="69"/>
      <c r="AP20" s="71" t="s">
        <v>300</v>
      </c>
      <c r="AQ20" s="69" t="s">
        <v>186</v>
      </c>
      <c r="AR20" s="69" t="s">
        <v>186</v>
      </c>
      <c r="AS20" s="69"/>
      <c r="AT20" s="71" t="s">
        <v>300</v>
      </c>
      <c r="AU20" s="69" t="s">
        <v>186</v>
      </c>
      <c r="AV20" s="69" t="s">
        <v>186</v>
      </c>
      <c r="AW20" s="69"/>
      <c r="AX20" s="72" t="s">
        <v>186</v>
      </c>
      <c r="AY20" s="69" t="s">
        <v>186</v>
      </c>
      <c r="AZ20" s="69" t="s">
        <v>186</v>
      </c>
      <c r="BA20" s="69"/>
      <c r="BB20" s="71" t="s">
        <v>300</v>
      </c>
      <c r="BC20" s="69" t="s">
        <v>186</v>
      </c>
      <c r="BD20" s="69" t="s">
        <v>186</v>
      </c>
      <c r="BE20" s="69"/>
      <c r="BF20" s="71" t="s">
        <v>300</v>
      </c>
      <c r="BG20" s="69" t="s">
        <v>186</v>
      </c>
      <c r="BH20" s="69" t="s">
        <v>186</v>
      </c>
      <c r="BI20" s="69"/>
      <c r="BJ20" s="71" t="s">
        <v>300</v>
      </c>
      <c r="BK20" s="69" t="s">
        <v>186</v>
      </c>
      <c r="BL20" s="69" t="s">
        <v>186</v>
      </c>
      <c r="BM20" s="69"/>
      <c r="BN20" s="71" t="s">
        <v>300</v>
      </c>
      <c r="BO20" s="69" t="s">
        <v>186</v>
      </c>
      <c r="BP20" s="69" t="s">
        <v>186</v>
      </c>
      <c r="BQ20" s="69"/>
      <c r="BR20" s="72" t="s">
        <v>186</v>
      </c>
      <c r="BS20" s="69" t="s">
        <v>186</v>
      </c>
      <c r="BT20" s="69" t="s">
        <v>186</v>
      </c>
      <c r="BU20" s="69"/>
      <c r="BV20" s="71" t="s">
        <v>300</v>
      </c>
      <c r="BW20" s="69" t="s">
        <v>186</v>
      </c>
      <c r="BX20" s="69" t="s">
        <v>186</v>
      </c>
      <c r="BY20" s="69"/>
      <c r="BZ20" s="71" t="s">
        <v>300</v>
      </c>
      <c r="CA20" s="69" t="s">
        <v>186</v>
      </c>
      <c r="CB20" s="69" t="s">
        <v>186</v>
      </c>
      <c r="CC20" s="69"/>
      <c r="CD20" s="71" t="s">
        <v>300</v>
      </c>
      <c r="CE20" s="69" t="s">
        <v>186</v>
      </c>
      <c r="CF20" s="69" t="s">
        <v>186</v>
      </c>
      <c r="CG20" s="69"/>
      <c r="CH20" s="71" t="s">
        <v>300</v>
      </c>
      <c r="CI20" s="69" t="s">
        <v>186</v>
      </c>
      <c r="CJ20" s="69" t="s">
        <v>186</v>
      </c>
      <c r="CK20" s="69"/>
      <c r="CL20" s="72" t="s">
        <v>186</v>
      </c>
      <c r="CM20" s="69" t="s">
        <v>186</v>
      </c>
      <c r="CN20" s="69" t="s">
        <v>186</v>
      </c>
      <c r="CO20" s="69"/>
      <c r="CP20" s="71" t="s">
        <v>300</v>
      </c>
      <c r="CQ20" s="69" t="s">
        <v>186</v>
      </c>
      <c r="CR20" s="69" t="s">
        <v>186</v>
      </c>
      <c r="CS20" s="69"/>
      <c r="CT20" s="71" t="s">
        <v>300</v>
      </c>
      <c r="CU20" s="69" t="s">
        <v>186</v>
      </c>
      <c r="CV20" s="69" t="s">
        <v>186</v>
      </c>
      <c r="CW20" s="69"/>
      <c r="CX20" s="71" t="s">
        <v>300</v>
      </c>
      <c r="CY20" s="69" t="s">
        <v>186</v>
      </c>
      <c r="CZ20" s="69" t="s">
        <v>186</v>
      </c>
      <c r="DA20" s="69"/>
      <c r="DB20" s="71" t="s">
        <v>300</v>
      </c>
      <c r="DC20" s="69" t="s">
        <v>186</v>
      </c>
      <c r="DD20" s="69" t="s">
        <v>186</v>
      </c>
      <c r="DE20" s="69"/>
      <c r="DF20" s="72" t="s">
        <v>186</v>
      </c>
      <c r="DG20" s="69" t="s">
        <v>186</v>
      </c>
      <c r="DH20" s="69" t="s">
        <v>186</v>
      </c>
      <c r="DI20" s="69"/>
      <c r="DJ20" s="71" t="s">
        <v>300</v>
      </c>
      <c r="DK20" s="69" t="s">
        <v>186</v>
      </c>
      <c r="DL20" s="69" t="s">
        <v>186</v>
      </c>
      <c r="DM20" s="69"/>
      <c r="DN20" s="71" t="s">
        <v>300</v>
      </c>
      <c r="DO20" s="69" t="s">
        <v>186</v>
      </c>
      <c r="DP20" s="69" t="s">
        <v>186</v>
      </c>
      <c r="DQ20" s="69"/>
      <c r="DR20" s="71" t="s">
        <v>300</v>
      </c>
      <c r="DS20" s="69" t="s">
        <v>186</v>
      </c>
      <c r="DT20" s="69" t="s">
        <v>186</v>
      </c>
      <c r="DU20" s="69"/>
      <c r="DV20" s="71" t="s">
        <v>300</v>
      </c>
      <c r="DW20" s="69" t="s">
        <v>186</v>
      </c>
      <c r="DX20" s="69" t="s">
        <v>186</v>
      </c>
      <c r="DY20" s="69"/>
      <c r="DZ20" s="72" t="s">
        <v>186</v>
      </c>
    </row>
    <row r="21" spans="1:130" ht="19.5" customHeight="1">
      <c r="A21" s="69">
        <v>6</v>
      </c>
      <c r="B21" s="94" t="s">
        <v>186</v>
      </c>
      <c r="C21" s="69"/>
      <c r="D21" s="69" t="s">
        <v>662</v>
      </c>
      <c r="E21" s="69" t="s">
        <v>186</v>
      </c>
      <c r="F21" s="69" t="s">
        <v>186</v>
      </c>
      <c r="G21" s="69" t="s">
        <v>186</v>
      </c>
      <c r="H21" s="69"/>
      <c r="I21" s="69" t="s">
        <v>186</v>
      </c>
      <c r="J21" s="69"/>
      <c r="K21" s="69" t="s">
        <v>186</v>
      </c>
      <c r="L21" s="69" t="s">
        <v>186</v>
      </c>
      <c r="M21" s="69"/>
      <c r="N21" s="71" t="s">
        <v>300</v>
      </c>
      <c r="O21" s="69" t="s">
        <v>186</v>
      </c>
      <c r="P21" s="69" t="s">
        <v>186</v>
      </c>
      <c r="Q21" s="69"/>
      <c r="R21" s="71" t="s">
        <v>300</v>
      </c>
      <c r="S21" s="69" t="s">
        <v>186</v>
      </c>
      <c r="T21" s="69" t="s">
        <v>186</v>
      </c>
      <c r="U21" s="69"/>
      <c r="V21" s="71" t="s">
        <v>300</v>
      </c>
      <c r="W21" s="69" t="s">
        <v>186</v>
      </c>
      <c r="X21" s="69" t="s">
        <v>186</v>
      </c>
      <c r="Y21" s="69"/>
      <c r="Z21" s="71" t="s">
        <v>300</v>
      </c>
      <c r="AA21" s="69" t="s">
        <v>186</v>
      </c>
      <c r="AB21" s="69" t="s">
        <v>186</v>
      </c>
      <c r="AC21" s="69"/>
      <c r="AD21" s="72" t="s">
        <v>186</v>
      </c>
      <c r="AE21" s="69" t="s">
        <v>186</v>
      </c>
      <c r="AF21" s="69" t="s">
        <v>186</v>
      </c>
      <c r="AG21" s="69"/>
      <c r="AH21" s="71" t="s">
        <v>300</v>
      </c>
      <c r="AI21" s="69" t="s">
        <v>186</v>
      </c>
      <c r="AJ21" s="69" t="s">
        <v>186</v>
      </c>
      <c r="AK21" s="69"/>
      <c r="AL21" s="71" t="s">
        <v>300</v>
      </c>
      <c r="AM21" s="69" t="s">
        <v>186</v>
      </c>
      <c r="AN21" s="69" t="s">
        <v>186</v>
      </c>
      <c r="AO21" s="69"/>
      <c r="AP21" s="71" t="s">
        <v>300</v>
      </c>
      <c r="AQ21" s="69" t="s">
        <v>186</v>
      </c>
      <c r="AR21" s="69" t="s">
        <v>186</v>
      </c>
      <c r="AS21" s="69"/>
      <c r="AT21" s="71" t="s">
        <v>300</v>
      </c>
      <c r="AU21" s="69" t="s">
        <v>186</v>
      </c>
      <c r="AV21" s="69" t="s">
        <v>186</v>
      </c>
      <c r="AW21" s="69"/>
      <c r="AX21" s="72" t="s">
        <v>186</v>
      </c>
      <c r="AY21" s="69" t="s">
        <v>186</v>
      </c>
      <c r="AZ21" s="69" t="s">
        <v>186</v>
      </c>
      <c r="BA21" s="69"/>
      <c r="BB21" s="71" t="s">
        <v>300</v>
      </c>
      <c r="BC21" s="69" t="s">
        <v>186</v>
      </c>
      <c r="BD21" s="69" t="s">
        <v>186</v>
      </c>
      <c r="BE21" s="69"/>
      <c r="BF21" s="71" t="s">
        <v>300</v>
      </c>
      <c r="BG21" s="69" t="s">
        <v>186</v>
      </c>
      <c r="BH21" s="69" t="s">
        <v>186</v>
      </c>
      <c r="BI21" s="69"/>
      <c r="BJ21" s="71" t="s">
        <v>300</v>
      </c>
      <c r="BK21" s="69" t="s">
        <v>186</v>
      </c>
      <c r="BL21" s="69" t="s">
        <v>186</v>
      </c>
      <c r="BM21" s="69"/>
      <c r="BN21" s="71" t="s">
        <v>300</v>
      </c>
      <c r="BO21" s="69" t="s">
        <v>186</v>
      </c>
      <c r="BP21" s="69" t="s">
        <v>186</v>
      </c>
      <c r="BQ21" s="69"/>
      <c r="BR21" s="72" t="s">
        <v>186</v>
      </c>
      <c r="BS21" s="69" t="s">
        <v>186</v>
      </c>
      <c r="BT21" s="69" t="s">
        <v>186</v>
      </c>
      <c r="BU21" s="69"/>
      <c r="BV21" s="71" t="s">
        <v>300</v>
      </c>
      <c r="BW21" s="69" t="s">
        <v>186</v>
      </c>
      <c r="BX21" s="69" t="s">
        <v>186</v>
      </c>
      <c r="BY21" s="69"/>
      <c r="BZ21" s="71" t="s">
        <v>300</v>
      </c>
      <c r="CA21" s="69" t="s">
        <v>186</v>
      </c>
      <c r="CB21" s="69" t="s">
        <v>186</v>
      </c>
      <c r="CC21" s="69"/>
      <c r="CD21" s="71" t="s">
        <v>300</v>
      </c>
      <c r="CE21" s="69" t="s">
        <v>186</v>
      </c>
      <c r="CF21" s="69" t="s">
        <v>186</v>
      </c>
      <c r="CG21" s="69"/>
      <c r="CH21" s="71" t="s">
        <v>300</v>
      </c>
      <c r="CI21" s="69" t="s">
        <v>186</v>
      </c>
      <c r="CJ21" s="69" t="s">
        <v>186</v>
      </c>
      <c r="CK21" s="69"/>
      <c r="CL21" s="72" t="s">
        <v>186</v>
      </c>
      <c r="CM21" s="69" t="s">
        <v>186</v>
      </c>
      <c r="CN21" s="69" t="s">
        <v>186</v>
      </c>
      <c r="CO21" s="69"/>
      <c r="CP21" s="71" t="s">
        <v>300</v>
      </c>
      <c r="CQ21" s="69" t="s">
        <v>186</v>
      </c>
      <c r="CR21" s="69" t="s">
        <v>186</v>
      </c>
      <c r="CS21" s="69"/>
      <c r="CT21" s="71" t="s">
        <v>300</v>
      </c>
      <c r="CU21" s="69" t="s">
        <v>186</v>
      </c>
      <c r="CV21" s="69" t="s">
        <v>186</v>
      </c>
      <c r="CW21" s="69"/>
      <c r="CX21" s="71" t="s">
        <v>300</v>
      </c>
      <c r="CY21" s="69" t="s">
        <v>186</v>
      </c>
      <c r="CZ21" s="69" t="s">
        <v>186</v>
      </c>
      <c r="DA21" s="69"/>
      <c r="DB21" s="71" t="s">
        <v>300</v>
      </c>
      <c r="DC21" s="69" t="s">
        <v>186</v>
      </c>
      <c r="DD21" s="69" t="s">
        <v>186</v>
      </c>
      <c r="DE21" s="69"/>
      <c r="DF21" s="72" t="s">
        <v>186</v>
      </c>
      <c r="DG21" s="69" t="s">
        <v>186</v>
      </c>
      <c r="DH21" s="69" t="s">
        <v>186</v>
      </c>
      <c r="DI21" s="69"/>
      <c r="DJ21" s="71" t="s">
        <v>300</v>
      </c>
      <c r="DK21" s="69" t="s">
        <v>186</v>
      </c>
      <c r="DL21" s="69" t="s">
        <v>186</v>
      </c>
      <c r="DM21" s="69"/>
      <c r="DN21" s="71" t="s">
        <v>300</v>
      </c>
      <c r="DO21" s="69" t="s">
        <v>186</v>
      </c>
      <c r="DP21" s="69" t="s">
        <v>186</v>
      </c>
      <c r="DQ21" s="69"/>
      <c r="DR21" s="71" t="s">
        <v>300</v>
      </c>
      <c r="DS21" s="69" t="s">
        <v>186</v>
      </c>
      <c r="DT21" s="69" t="s">
        <v>186</v>
      </c>
      <c r="DU21" s="69"/>
      <c r="DV21" s="71" t="s">
        <v>300</v>
      </c>
      <c r="DW21" s="69" t="s">
        <v>186</v>
      </c>
      <c r="DX21" s="69" t="s">
        <v>186</v>
      </c>
      <c r="DY21" s="69"/>
      <c r="DZ21" s="72" t="s">
        <v>186</v>
      </c>
    </row>
    <row r="22" spans="1:130" ht="19.5" customHeight="1">
      <c r="A22" s="69">
        <v>7</v>
      </c>
      <c r="B22" s="94" t="s">
        <v>186</v>
      </c>
      <c r="C22" s="69"/>
      <c r="D22" s="69" t="s">
        <v>662</v>
      </c>
      <c r="E22" s="69" t="s">
        <v>186</v>
      </c>
      <c r="F22" s="69" t="s">
        <v>186</v>
      </c>
      <c r="G22" s="69" t="s">
        <v>186</v>
      </c>
      <c r="H22" s="69"/>
      <c r="I22" s="69" t="s">
        <v>186</v>
      </c>
      <c r="J22" s="69"/>
      <c r="K22" s="69" t="s">
        <v>186</v>
      </c>
      <c r="L22" s="69" t="s">
        <v>186</v>
      </c>
      <c r="M22" s="69"/>
      <c r="N22" s="71" t="s">
        <v>300</v>
      </c>
      <c r="O22" s="69" t="s">
        <v>186</v>
      </c>
      <c r="P22" s="69" t="s">
        <v>186</v>
      </c>
      <c r="Q22" s="69"/>
      <c r="R22" s="71" t="s">
        <v>300</v>
      </c>
      <c r="S22" s="69" t="s">
        <v>186</v>
      </c>
      <c r="T22" s="69" t="s">
        <v>186</v>
      </c>
      <c r="U22" s="69"/>
      <c r="V22" s="71" t="s">
        <v>300</v>
      </c>
      <c r="W22" s="69" t="s">
        <v>186</v>
      </c>
      <c r="X22" s="69" t="s">
        <v>186</v>
      </c>
      <c r="Y22" s="69"/>
      <c r="Z22" s="71" t="s">
        <v>300</v>
      </c>
      <c r="AA22" s="69" t="s">
        <v>186</v>
      </c>
      <c r="AB22" s="69" t="s">
        <v>186</v>
      </c>
      <c r="AC22" s="69"/>
      <c r="AD22" s="72" t="s">
        <v>186</v>
      </c>
      <c r="AE22" s="69" t="s">
        <v>186</v>
      </c>
      <c r="AF22" s="69" t="s">
        <v>186</v>
      </c>
      <c r="AG22" s="69"/>
      <c r="AH22" s="71" t="s">
        <v>300</v>
      </c>
      <c r="AI22" s="69" t="s">
        <v>186</v>
      </c>
      <c r="AJ22" s="69" t="s">
        <v>186</v>
      </c>
      <c r="AK22" s="69"/>
      <c r="AL22" s="71" t="s">
        <v>300</v>
      </c>
      <c r="AM22" s="69" t="s">
        <v>186</v>
      </c>
      <c r="AN22" s="69" t="s">
        <v>186</v>
      </c>
      <c r="AO22" s="69"/>
      <c r="AP22" s="71" t="s">
        <v>300</v>
      </c>
      <c r="AQ22" s="69" t="s">
        <v>186</v>
      </c>
      <c r="AR22" s="69" t="s">
        <v>186</v>
      </c>
      <c r="AS22" s="69"/>
      <c r="AT22" s="71" t="s">
        <v>300</v>
      </c>
      <c r="AU22" s="69" t="s">
        <v>186</v>
      </c>
      <c r="AV22" s="69" t="s">
        <v>186</v>
      </c>
      <c r="AW22" s="69"/>
      <c r="AX22" s="72" t="s">
        <v>186</v>
      </c>
      <c r="AY22" s="69" t="s">
        <v>186</v>
      </c>
      <c r="AZ22" s="69" t="s">
        <v>186</v>
      </c>
      <c r="BA22" s="69"/>
      <c r="BB22" s="71" t="s">
        <v>300</v>
      </c>
      <c r="BC22" s="69" t="s">
        <v>186</v>
      </c>
      <c r="BD22" s="69" t="s">
        <v>186</v>
      </c>
      <c r="BE22" s="69"/>
      <c r="BF22" s="71" t="s">
        <v>300</v>
      </c>
      <c r="BG22" s="69" t="s">
        <v>186</v>
      </c>
      <c r="BH22" s="69" t="s">
        <v>186</v>
      </c>
      <c r="BI22" s="69"/>
      <c r="BJ22" s="71" t="s">
        <v>300</v>
      </c>
      <c r="BK22" s="69" t="s">
        <v>186</v>
      </c>
      <c r="BL22" s="69" t="s">
        <v>186</v>
      </c>
      <c r="BM22" s="69"/>
      <c r="BN22" s="71" t="s">
        <v>300</v>
      </c>
      <c r="BO22" s="69" t="s">
        <v>186</v>
      </c>
      <c r="BP22" s="69" t="s">
        <v>186</v>
      </c>
      <c r="BQ22" s="69"/>
      <c r="BR22" s="72" t="s">
        <v>186</v>
      </c>
      <c r="BS22" s="69" t="s">
        <v>186</v>
      </c>
      <c r="BT22" s="69" t="s">
        <v>186</v>
      </c>
      <c r="BU22" s="69"/>
      <c r="BV22" s="71" t="s">
        <v>300</v>
      </c>
      <c r="BW22" s="69" t="s">
        <v>186</v>
      </c>
      <c r="BX22" s="69" t="s">
        <v>186</v>
      </c>
      <c r="BY22" s="69"/>
      <c r="BZ22" s="71" t="s">
        <v>300</v>
      </c>
      <c r="CA22" s="69" t="s">
        <v>186</v>
      </c>
      <c r="CB22" s="69" t="s">
        <v>186</v>
      </c>
      <c r="CC22" s="69"/>
      <c r="CD22" s="71" t="s">
        <v>300</v>
      </c>
      <c r="CE22" s="69" t="s">
        <v>186</v>
      </c>
      <c r="CF22" s="69" t="s">
        <v>186</v>
      </c>
      <c r="CG22" s="69"/>
      <c r="CH22" s="71" t="s">
        <v>300</v>
      </c>
      <c r="CI22" s="69" t="s">
        <v>186</v>
      </c>
      <c r="CJ22" s="69" t="s">
        <v>186</v>
      </c>
      <c r="CK22" s="69"/>
      <c r="CL22" s="72" t="s">
        <v>186</v>
      </c>
      <c r="CM22" s="69" t="s">
        <v>186</v>
      </c>
      <c r="CN22" s="69" t="s">
        <v>186</v>
      </c>
      <c r="CO22" s="69"/>
      <c r="CP22" s="71" t="s">
        <v>300</v>
      </c>
      <c r="CQ22" s="69" t="s">
        <v>186</v>
      </c>
      <c r="CR22" s="69" t="s">
        <v>186</v>
      </c>
      <c r="CS22" s="69"/>
      <c r="CT22" s="71" t="s">
        <v>300</v>
      </c>
      <c r="CU22" s="69" t="s">
        <v>186</v>
      </c>
      <c r="CV22" s="69" t="s">
        <v>186</v>
      </c>
      <c r="CW22" s="69"/>
      <c r="CX22" s="71" t="s">
        <v>300</v>
      </c>
      <c r="CY22" s="69" t="s">
        <v>186</v>
      </c>
      <c r="CZ22" s="69" t="s">
        <v>186</v>
      </c>
      <c r="DA22" s="69"/>
      <c r="DB22" s="71" t="s">
        <v>300</v>
      </c>
      <c r="DC22" s="69" t="s">
        <v>186</v>
      </c>
      <c r="DD22" s="69" t="s">
        <v>186</v>
      </c>
      <c r="DE22" s="69"/>
      <c r="DF22" s="72" t="s">
        <v>186</v>
      </c>
      <c r="DG22" s="69" t="s">
        <v>186</v>
      </c>
      <c r="DH22" s="69" t="s">
        <v>186</v>
      </c>
      <c r="DI22" s="69"/>
      <c r="DJ22" s="71" t="s">
        <v>300</v>
      </c>
      <c r="DK22" s="69" t="s">
        <v>186</v>
      </c>
      <c r="DL22" s="69" t="s">
        <v>186</v>
      </c>
      <c r="DM22" s="69"/>
      <c r="DN22" s="71" t="s">
        <v>300</v>
      </c>
      <c r="DO22" s="69" t="s">
        <v>186</v>
      </c>
      <c r="DP22" s="69" t="s">
        <v>186</v>
      </c>
      <c r="DQ22" s="69"/>
      <c r="DR22" s="71" t="s">
        <v>300</v>
      </c>
      <c r="DS22" s="69" t="s">
        <v>186</v>
      </c>
      <c r="DT22" s="69" t="s">
        <v>186</v>
      </c>
      <c r="DU22" s="69"/>
      <c r="DV22" s="71" t="s">
        <v>300</v>
      </c>
      <c r="DW22" s="69" t="s">
        <v>186</v>
      </c>
      <c r="DX22" s="69" t="s">
        <v>186</v>
      </c>
      <c r="DY22" s="69"/>
      <c r="DZ22" s="72" t="s">
        <v>186</v>
      </c>
    </row>
    <row r="23" spans="1:130" ht="19.5" customHeight="1">
      <c r="A23" s="69">
        <v>8</v>
      </c>
      <c r="B23" s="94" t="s">
        <v>186</v>
      </c>
      <c r="C23" s="69"/>
      <c r="D23" s="69" t="s">
        <v>662</v>
      </c>
      <c r="E23" s="69" t="s">
        <v>186</v>
      </c>
      <c r="F23" s="69" t="s">
        <v>186</v>
      </c>
      <c r="G23" s="69" t="s">
        <v>186</v>
      </c>
      <c r="H23" s="69"/>
      <c r="I23" s="69" t="s">
        <v>186</v>
      </c>
      <c r="J23" s="69"/>
      <c r="K23" s="69" t="s">
        <v>186</v>
      </c>
      <c r="L23" s="69" t="s">
        <v>186</v>
      </c>
      <c r="M23" s="69"/>
      <c r="N23" s="71" t="s">
        <v>300</v>
      </c>
      <c r="O23" s="69" t="s">
        <v>186</v>
      </c>
      <c r="P23" s="69" t="s">
        <v>186</v>
      </c>
      <c r="Q23" s="69"/>
      <c r="R23" s="71" t="s">
        <v>300</v>
      </c>
      <c r="S23" s="69" t="s">
        <v>186</v>
      </c>
      <c r="T23" s="69" t="s">
        <v>186</v>
      </c>
      <c r="U23" s="69"/>
      <c r="V23" s="71" t="s">
        <v>300</v>
      </c>
      <c r="W23" s="69" t="s">
        <v>186</v>
      </c>
      <c r="X23" s="69" t="s">
        <v>186</v>
      </c>
      <c r="Y23" s="69"/>
      <c r="Z23" s="71" t="s">
        <v>300</v>
      </c>
      <c r="AA23" s="69" t="s">
        <v>186</v>
      </c>
      <c r="AB23" s="69" t="s">
        <v>186</v>
      </c>
      <c r="AC23" s="69"/>
      <c r="AD23" s="72" t="s">
        <v>186</v>
      </c>
      <c r="AE23" s="69" t="s">
        <v>186</v>
      </c>
      <c r="AF23" s="69" t="s">
        <v>186</v>
      </c>
      <c r="AG23" s="69"/>
      <c r="AH23" s="71" t="s">
        <v>300</v>
      </c>
      <c r="AI23" s="69" t="s">
        <v>186</v>
      </c>
      <c r="AJ23" s="69" t="s">
        <v>186</v>
      </c>
      <c r="AK23" s="69"/>
      <c r="AL23" s="71" t="s">
        <v>300</v>
      </c>
      <c r="AM23" s="69" t="s">
        <v>186</v>
      </c>
      <c r="AN23" s="69" t="s">
        <v>186</v>
      </c>
      <c r="AO23" s="69"/>
      <c r="AP23" s="71" t="s">
        <v>300</v>
      </c>
      <c r="AQ23" s="69" t="s">
        <v>186</v>
      </c>
      <c r="AR23" s="69" t="s">
        <v>186</v>
      </c>
      <c r="AS23" s="69"/>
      <c r="AT23" s="71" t="s">
        <v>300</v>
      </c>
      <c r="AU23" s="69" t="s">
        <v>186</v>
      </c>
      <c r="AV23" s="69" t="s">
        <v>186</v>
      </c>
      <c r="AW23" s="69"/>
      <c r="AX23" s="72" t="s">
        <v>186</v>
      </c>
      <c r="AY23" s="69" t="s">
        <v>186</v>
      </c>
      <c r="AZ23" s="69" t="s">
        <v>186</v>
      </c>
      <c r="BA23" s="69"/>
      <c r="BB23" s="71" t="s">
        <v>300</v>
      </c>
      <c r="BC23" s="69" t="s">
        <v>186</v>
      </c>
      <c r="BD23" s="69" t="s">
        <v>186</v>
      </c>
      <c r="BE23" s="69"/>
      <c r="BF23" s="71" t="s">
        <v>300</v>
      </c>
      <c r="BG23" s="69" t="s">
        <v>186</v>
      </c>
      <c r="BH23" s="69" t="s">
        <v>186</v>
      </c>
      <c r="BI23" s="69"/>
      <c r="BJ23" s="71" t="s">
        <v>300</v>
      </c>
      <c r="BK23" s="69" t="s">
        <v>186</v>
      </c>
      <c r="BL23" s="69" t="s">
        <v>186</v>
      </c>
      <c r="BM23" s="69"/>
      <c r="BN23" s="71" t="s">
        <v>300</v>
      </c>
      <c r="BO23" s="69" t="s">
        <v>186</v>
      </c>
      <c r="BP23" s="69" t="s">
        <v>186</v>
      </c>
      <c r="BQ23" s="69"/>
      <c r="BR23" s="72" t="s">
        <v>186</v>
      </c>
      <c r="BS23" s="69" t="s">
        <v>186</v>
      </c>
      <c r="BT23" s="69" t="s">
        <v>186</v>
      </c>
      <c r="BU23" s="69"/>
      <c r="BV23" s="71" t="s">
        <v>300</v>
      </c>
      <c r="BW23" s="69" t="s">
        <v>186</v>
      </c>
      <c r="BX23" s="69" t="s">
        <v>186</v>
      </c>
      <c r="BY23" s="69"/>
      <c r="BZ23" s="71" t="s">
        <v>300</v>
      </c>
      <c r="CA23" s="69" t="s">
        <v>186</v>
      </c>
      <c r="CB23" s="69" t="s">
        <v>186</v>
      </c>
      <c r="CC23" s="69"/>
      <c r="CD23" s="71" t="s">
        <v>300</v>
      </c>
      <c r="CE23" s="69" t="s">
        <v>186</v>
      </c>
      <c r="CF23" s="69" t="s">
        <v>186</v>
      </c>
      <c r="CG23" s="69"/>
      <c r="CH23" s="71" t="s">
        <v>300</v>
      </c>
      <c r="CI23" s="69" t="s">
        <v>186</v>
      </c>
      <c r="CJ23" s="69" t="s">
        <v>186</v>
      </c>
      <c r="CK23" s="69"/>
      <c r="CL23" s="72" t="s">
        <v>186</v>
      </c>
      <c r="CM23" s="69" t="s">
        <v>186</v>
      </c>
      <c r="CN23" s="69" t="s">
        <v>186</v>
      </c>
      <c r="CO23" s="69"/>
      <c r="CP23" s="71" t="s">
        <v>300</v>
      </c>
      <c r="CQ23" s="69" t="s">
        <v>186</v>
      </c>
      <c r="CR23" s="69" t="s">
        <v>186</v>
      </c>
      <c r="CS23" s="69"/>
      <c r="CT23" s="71" t="s">
        <v>300</v>
      </c>
      <c r="CU23" s="69" t="s">
        <v>186</v>
      </c>
      <c r="CV23" s="69" t="s">
        <v>186</v>
      </c>
      <c r="CW23" s="69"/>
      <c r="CX23" s="71" t="s">
        <v>300</v>
      </c>
      <c r="CY23" s="69" t="s">
        <v>186</v>
      </c>
      <c r="CZ23" s="69" t="s">
        <v>186</v>
      </c>
      <c r="DA23" s="69"/>
      <c r="DB23" s="71" t="s">
        <v>300</v>
      </c>
      <c r="DC23" s="69" t="s">
        <v>186</v>
      </c>
      <c r="DD23" s="69" t="s">
        <v>186</v>
      </c>
      <c r="DE23" s="69"/>
      <c r="DF23" s="72" t="s">
        <v>186</v>
      </c>
      <c r="DG23" s="69" t="s">
        <v>186</v>
      </c>
      <c r="DH23" s="69" t="s">
        <v>186</v>
      </c>
      <c r="DI23" s="69"/>
      <c r="DJ23" s="71" t="s">
        <v>300</v>
      </c>
      <c r="DK23" s="69" t="s">
        <v>186</v>
      </c>
      <c r="DL23" s="69" t="s">
        <v>186</v>
      </c>
      <c r="DM23" s="69"/>
      <c r="DN23" s="71" t="s">
        <v>300</v>
      </c>
      <c r="DO23" s="69" t="s">
        <v>186</v>
      </c>
      <c r="DP23" s="69" t="s">
        <v>186</v>
      </c>
      <c r="DQ23" s="69"/>
      <c r="DR23" s="71" t="s">
        <v>300</v>
      </c>
      <c r="DS23" s="69" t="s">
        <v>186</v>
      </c>
      <c r="DT23" s="69" t="s">
        <v>186</v>
      </c>
      <c r="DU23" s="69"/>
      <c r="DV23" s="71" t="s">
        <v>300</v>
      </c>
      <c r="DW23" s="69" t="s">
        <v>186</v>
      </c>
      <c r="DX23" s="69" t="s">
        <v>186</v>
      </c>
      <c r="DY23" s="69"/>
      <c r="DZ23" s="72" t="s">
        <v>186</v>
      </c>
    </row>
    <row r="24" spans="1:130" ht="19.5" customHeight="1">
      <c r="A24" s="69">
        <v>9</v>
      </c>
      <c r="B24" s="94" t="s">
        <v>186</v>
      </c>
      <c r="C24" s="69"/>
      <c r="D24" s="69" t="s">
        <v>662</v>
      </c>
      <c r="E24" s="69" t="s">
        <v>186</v>
      </c>
      <c r="F24" s="69" t="s">
        <v>186</v>
      </c>
      <c r="G24" s="69" t="s">
        <v>186</v>
      </c>
      <c r="H24" s="69"/>
      <c r="I24" s="69" t="s">
        <v>186</v>
      </c>
      <c r="J24" s="69"/>
      <c r="K24" s="69" t="s">
        <v>186</v>
      </c>
      <c r="L24" s="69" t="s">
        <v>186</v>
      </c>
      <c r="M24" s="69"/>
      <c r="N24" s="71" t="s">
        <v>300</v>
      </c>
      <c r="O24" s="69" t="s">
        <v>186</v>
      </c>
      <c r="P24" s="69" t="s">
        <v>186</v>
      </c>
      <c r="Q24" s="69"/>
      <c r="R24" s="71" t="s">
        <v>300</v>
      </c>
      <c r="S24" s="69" t="s">
        <v>186</v>
      </c>
      <c r="T24" s="69" t="s">
        <v>186</v>
      </c>
      <c r="U24" s="69"/>
      <c r="V24" s="71" t="s">
        <v>300</v>
      </c>
      <c r="W24" s="69" t="s">
        <v>186</v>
      </c>
      <c r="X24" s="69" t="s">
        <v>186</v>
      </c>
      <c r="Y24" s="69"/>
      <c r="Z24" s="71" t="s">
        <v>300</v>
      </c>
      <c r="AA24" s="69" t="s">
        <v>186</v>
      </c>
      <c r="AB24" s="69" t="s">
        <v>186</v>
      </c>
      <c r="AC24" s="69"/>
      <c r="AD24" s="72" t="s">
        <v>186</v>
      </c>
      <c r="AE24" s="69" t="s">
        <v>186</v>
      </c>
      <c r="AF24" s="69" t="s">
        <v>186</v>
      </c>
      <c r="AG24" s="69"/>
      <c r="AH24" s="71" t="s">
        <v>300</v>
      </c>
      <c r="AI24" s="69" t="s">
        <v>186</v>
      </c>
      <c r="AJ24" s="69" t="s">
        <v>186</v>
      </c>
      <c r="AK24" s="69"/>
      <c r="AL24" s="71" t="s">
        <v>300</v>
      </c>
      <c r="AM24" s="69" t="s">
        <v>186</v>
      </c>
      <c r="AN24" s="69" t="s">
        <v>186</v>
      </c>
      <c r="AO24" s="69"/>
      <c r="AP24" s="71" t="s">
        <v>300</v>
      </c>
      <c r="AQ24" s="69" t="s">
        <v>186</v>
      </c>
      <c r="AR24" s="69" t="s">
        <v>186</v>
      </c>
      <c r="AS24" s="69"/>
      <c r="AT24" s="71" t="s">
        <v>300</v>
      </c>
      <c r="AU24" s="69" t="s">
        <v>186</v>
      </c>
      <c r="AV24" s="69" t="s">
        <v>186</v>
      </c>
      <c r="AW24" s="69"/>
      <c r="AX24" s="72" t="s">
        <v>186</v>
      </c>
      <c r="AY24" s="69" t="s">
        <v>186</v>
      </c>
      <c r="AZ24" s="69" t="s">
        <v>186</v>
      </c>
      <c r="BA24" s="69"/>
      <c r="BB24" s="71" t="s">
        <v>300</v>
      </c>
      <c r="BC24" s="69" t="s">
        <v>186</v>
      </c>
      <c r="BD24" s="69" t="s">
        <v>186</v>
      </c>
      <c r="BE24" s="69"/>
      <c r="BF24" s="71" t="s">
        <v>300</v>
      </c>
      <c r="BG24" s="69" t="s">
        <v>186</v>
      </c>
      <c r="BH24" s="69" t="s">
        <v>186</v>
      </c>
      <c r="BI24" s="69"/>
      <c r="BJ24" s="71" t="s">
        <v>300</v>
      </c>
      <c r="BK24" s="69" t="s">
        <v>186</v>
      </c>
      <c r="BL24" s="69" t="s">
        <v>186</v>
      </c>
      <c r="BM24" s="69"/>
      <c r="BN24" s="71" t="s">
        <v>300</v>
      </c>
      <c r="BO24" s="69" t="s">
        <v>186</v>
      </c>
      <c r="BP24" s="69" t="s">
        <v>186</v>
      </c>
      <c r="BQ24" s="69"/>
      <c r="BR24" s="72" t="s">
        <v>186</v>
      </c>
      <c r="BS24" s="69" t="s">
        <v>186</v>
      </c>
      <c r="BT24" s="69" t="s">
        <v>186</v>
      </c>
      <c r="BU24" s="69"/>
      <c r="BV24" s="71" t="s">
        <v>300</v>
      </c>
      <c r="BW24" s="69" t="s">
        <v>186</v>
      </c>
      <c r="BX24" s="69" t="s">
        <v>186</v>
      </c>
      <c r="BY24" s="69"/>
      <c r="BZ24" s="71" t="s">
        <v>300</v>
      </c>
      <c r="CA24" s="69" t="s">
        <v>186</v>
      </c>
      <c r="CB24" s="69" t="s">
        <v>186</v>
      </c>
      <c r="CC24" s="69"/>
      <c r="CD24" s="71" t="s">
        <v>300</v>
      </c>
      <c r="CE24" s="69" t="s">
        <v>186</v>
      </c>
      <c r="CF24" s="69" t="s">
        <v>186</v>
      </c>
      <c r="CG24" s="69"/>
      <c r="CH24" s="71" t="s">
        <v>300</v>
      </c>
      <c r="CI24" s="69" t="s">
        <v>186</v>
      </c>
      <c r="CJ24" s="69" t="s">
        <v>186</v>
      </c>
      <c r="CK24" s="69"/>
      <c r="CL24" s="72" t="s">
        <v>186</v>
      </c>
      <c r="CM24" s="69" t="s">
        <v>186</v>
      </c>
      <c r="CN24" s="69" t="s">
        <v>186</v>
      </c>
      <c r="CO24" s="69"/>
      <c r="CP24" s="71" t="s">
        <v>300</v>
      </c>
      <c r="CQ24" s="69" t="s">
        <v>186</v>
      </c>
      <c r="CR24" s="69" t="s">
        <v>186</v>
      </c>
      <c r="CS24" s="69"/>
      <c r="CT24" s="71" t="s">
        <v>300</v>
      </c>
      <c r="CU24" s="69" t="s">
        <v>186</v>
      </c>
      <c r="CV24" s="69" t="s">
        <v>186</v>
      </c>
      <c r="CW24" s="69"/>
      <c r="CX24" s="71" t="s">
        <v>300</v>
      </c>
      <c r="CY24" s="69" t="s">
        <v>186</v>
      </c>
      <c r="CZ24" s="69" t="s">
        <v>186</v>
      </c>
      <c r="DA24" s="69"/>
      <c r="DB24" s="71" t="s">
        <v>300</v>
      </c>
      <c r="DC24" s="69" t="s">
        <v>186</v>
      </c>
      <c r="DD24" s="69" t="s">
        <v>186</v>
      </c>
      <c r="DE24" s="69"/>
      <c r="DF24" s="72" t="s">
        <v>186</v>
      </c>
      <c r="DG24" s="69" t="s">
        <v>186</v>
      </c>
      <c r="DH24" s="69" t="s">
        <v>186</v>
      </c>
      <c r="DI24" s="69"/>
      <c r="DJ24" s="71" t="s">
        <v>300</v>
      </c>
      <c r="DK24" s="69" t="s">
        <v>186</v>
      </c>
      <c r="DL24" s="69" t="s">
        <v>186</v>
      </c>
      <c r="DM24" s="69"/>
      <c r="DN24" s="71" t="s">
        <v>300</v>
      </c>
      <c r="DO24" s="69" t="s">
        <v>186</v>
      </c>
      <c r="DP24" s="69" t="s">
        <v>186</v>
      </c>
      <c r="DQ24" s="69"/>
      <c r="DR24" s="71" t="s">
        <v>300</v>
      </c>
      <c r="DS24" s="69" t="s">
        <v>186</v>
      </c>
      <c r="DT24" s="69" t="s">
        <v>186</v>
      </c>
      <c r="DU24" s="69"/>
      <c r="DV24" s="71" t="s">
        <v>300</v>
      </c>
      <c r="DW24" s="69" t="s">
        <v>186</v>
      </c>
      <c r="DX24" s="69" t="s">
        <v>186</v>
      </c>
      <c r="DY24" s="69"/>
      <c r="DZ24" s="72" t="s">
        <v>186</v>
      </c>
    </row>
    <row r="25" spans="1:130" ht="19.5" customHeight="1">
      <c r="A25" s="69">
        <v>10</v>
      </c>
      <c r="B25" s="94" t="s">
        <v>186</v>
      </c>
      <c r="C25" s="69"/>
      <c r="D25" s="69" t="s">
        <v>662</v>
      </c>
      <c r="E25" s="69" t="s">
        <v>186</v>
      </c>
      <c r="F25" s="69" t="s">
        <v>186</v>
      </c>
      <c r="G25" s="69" t="s">
        <v>186</v>
      </c>
      <c r="H25" s="69"/>
      <c r="I25" s="69" t="s">
        <v>186</v>
      </c>
      <c r="J25" s="69"/>
      <c r="K25" s="69" t="s">
        <v>186</v>
      </c>
      <c r="L25" s="69" t="s">
        <v>186</v>
      </c>
      <c r="M25" s="69"/>
      <c r="N25" s="71" t="s">
        <v>300</v>
      </c>
      <c r="O25" s="69" t="s">
        <v>186</v>
      </c>
      <c r="P25" s="69" t="s">
        <v>186</v>
      </c>
      <c r="Q25" s="69"/>
      <c r="R25" s="71" t="s">
        <v>300</v>
      </c>
      <c r="S25" s="69" t="s">
        <v>186</v>
      </c>
      <c r="T25" s="69" t="s">
        <v>186</v>
      </c>
      <c r="U25" s="69"/>
      <c r="V25" s="71" t="s">
        <v>300</v>
      </c>
      <c r="W25" s="69" t="s">
        <v>186</v>
      </c>
      <c r="X25" s="69" t="s">
        <v>186</v>
      </c>
      <c r="Y25" s="69"/>
      <c r="Z25" s="71" t="s">
        <v>300</v>
      </c>
      <c r="AA25" s="69" t="s">
        <v>186</v>
      </c>
      <c r="AB25" s="69" t="s">
        <v>186</v>
      </c>
      <c r="AC25" s="69"/>
      <c r="AD25" s="72" t="s">
        <v>186</v>
      </c>
      <c r="AE25" s="69" t="s">
        <v>186</v>
      </c>
      <c r="AF25" s="69" t="s">
        <v>186</v>
      </c>
      <c r="AG25" s="69"/>
      <c r="AH25" s="71" t="s">
        <v>300</v>
      </c>
      <c r="AI25" s="69" t="s">
        <v>186</v>
      </c>
      <c r="AJ25" s="69" t="s">
        <v>186</v>
      </c>
      <c r="AK25" s="69"/>
      <c r="AL25" s="71" t="s">
        <v>300</v>
      </c>
      <c r="AM25" s="69" t="s">
        <v>186</v>
      </c>
      <c r="AN25" s="69" t="s">
        <v>186</v>
      </c>
      <c r="AO25" s="69"/>
      <c r="AP25" s="71" t="s">
        <v>300</v>
      </c>
      <c r="AQ25" s="69" t="s">
        <v>186</v>
      </c>
      <c r="AR25" s="69" t="s">
        <v>186</v>
      </c>
      <c r="AS25" s="69"/>
      <c r="AT25" s="71" t="s">
        <v>300</v>
      </c>
      <c r="AU25" s="69" t="s">
        <v>186</v>
      </c>
      <c r="AV25" s="69" t="s">
        <v>186</v>
      </c>
      <c r="AW25" s="69"/>
      <c r="AX25" s="72" t="s">
        <v>186</v>
      </c>
      <c r="AY25" s="69" t="s">
        <v>186</v>
      </c>
      <c r="AZ25" s="69" t="s">
        <v>186</v>
      </c>
      <c r="BA25" s="69"/>
      <c r="BB25" s="71" t="s">
        <v>300</v>
      </c>
      <c r="BC25" s="69" t="s">
        <v>186</v>
      </c>
      <c r="BD25" s="69" t="s">
        <v>186</v>
      </c>
      <c r="BE25" s="69"/>
      <c r="BF25" s="71" t="s">
        <v>300</v>
      </c>
      <c r="BG25" s="69" t="s">
        <v>186</v>
      </c>
      <c r="BH25" s="69" t="s">
        <v>186</v>
      </c>
      <c r="BI25" s="69"/>
      <c r="BJ25" s="71" t="s">
        <v>300</v>
      </c>
      <c r="BK25" s="69" t="s">
        <v>186</v>
      </c>
      <c r="BL25" s="69" t="s">
        <v>186</v>
      </c>
      <c r="BM25" s="69"/>
      <c r="BN25" s="71" t="s">
        <v>300</v>
      </c>
      <c r="BO25" s="69" t="s">
        <v>186</v>
      </c>
      <c r="BP25" s="69" t="s">
        <v>186</v>
      </c>
      <c r="BQ25" s="69"/>
      <c r="BR25" s="72" t="s">
        <v>186</v>
      </c>
      <c r="BS25" s="69" t="s">
        <v>186</v>
      </c>
      <c r="BT25" s="69" t="s">
        <v>186</v>
      </c>
      <c r="BU25" s="69"/>
      <c r="BV25" s="71" t="s">
        <v>300</v>
      </c>
      <c r="BW25" s="69" t="s">
        <v>186</v>
      </c>
      <c r="BX25" s="69" t="s">
        <v>186</v>
      </c>
      <c r="BY25" s="69"/>
      <c r="BZ25" s="71" t="s">
        <v>300</v>
      </c>
      <c r="CA25" s="69" t="s">
        <v>186</v>
      </c>
      <c r="CB25" s="69" t="s">
        <v>186</v>
      </c>
      <c r="CC25" s="69"/>
      <c r="CD25" s="71" t="s">
        <v>300</v>
      </c>
      <c r="CE25" s="69" t="s">
        <v>186</v>
      </c>
      <c r="CF25" s="69" t="s">
        <v>186</v>
      </c>
      <c r="CG25" s="69"/>
      <c r="CH25" s="71" t="s">
        <v>300</v>
      </c>
      <c r="CI25" s="69" t="s">
        <v>186</v>
      </c>
      <c r="CJ25" s="69" t="s">
        <v>186</v>
      </c>
      <c r="CK25" s="69"/>
      <c r="CL25" s="72" t="s">
        <v>186</v>
      </c>
      <c r="CM25" s="69" t="s">
        <v>186</v>
      </c>
      <c r="CN25" s="69" t="s">
        <v>186</v>
      </c>
      <c r="CO25" s="69"/>
      <c r="CP25" s="71" t="s">
        <v>300</v>
      </c>
      <c r="CQ25" s="69" t="s">
        <v>186</v>
      </c>
      <c r="CR25" s="69" t="s">
        <v>186</v>
      </c>
      <c r="CS25" s="69"/>
      <c r="CT25" s="71" t="s">
        <v>300</v>
      </c>
      <c r="CU25" s="69" t="s">
        <v>186</v>
      </c>
      <c r="CV25" s="69" t="s">
        <v>186</v>
      </c>
      <c r="CW25" s="69"/>
      <c r="CX25" s="71" t="s">
        <v>300</v>
      </c>
      <c r="CY25" s="69" t="s">
        <v>186</v>
      </c>
      <c r="CZ25" s="69" t="s">
        <v>186</v>
      </c>
      <c r="DA25" s="69"/>
      <c r="DB25" s="71" t="s">
        <v>300</v>
      </c>
      <c r="DC25" s="69" t="s">
        <v>186</v>
      </c>
      <c r="DD25" s="69" t="s">
        <v>186</v>
      </c>
      <c r="DE25" s="69"/>
      <c r="DF25" s="72" t="s">
        <v>186</v>
      </c>
      <c r="DG25" s="69" t="s">
        <v>186</v>
      </c>
      <c r="DH25" s="69" t="s">
        <v>186</v>
      </c>
      <c r="DI25" s="69"/>
      <c r="DJ25" s="71" t="s">
        <v>300</v>
      </c>
      <c r="DK25" s="69" t="s">
        <v>186</v>
      </c>
      <c r="DL25" s="69" t="s">
        <v>186</v>
      </c>
      <c r="DM25" s="69"/>
      <c r="DN25" s="71" t="s">
        <v>300</v>
      </c>
      <c r="DO25" s="69" t="s">
        <v>186</v>
      </c>
      <c r="DP25" s="69" t="s">
        <v>186</v>
      </c>
      <c r="DQ25" s="69"/>
      <c r="DR25" s="71" t="s">
        <v>300</v>
      </c>
      <c r="DS25" s="69" t="s">
        <v>186</v>
      </c>
      <c r="DT25" s="69" t="s">
        <v>186</v>
      </c>
      <c r="DU25" s="69"/>
      <c r="DV25" s="71" t="s">
        <v>300</v>
      </c>
      <c r="DW25" s="69" t="s">
        <v>186</v>
      </c>
      <c r="DX25" s="69" t="s">
        <v>186</v>
      </c>
      <c r="DY25" s="69"/>
      <c r="DZ25" s="72" t="s">
        <v>186</v>
      </c>
    </row>
    <row r="26" spans="1:130" ht="19.5" customHeight="1">
      <c r="A26" s="69">
        <v>11</v>
      </c>
      <c r="B26" s="94" t="s">
        <v>186</v>
      </c>
      <c r="C26" s="69"/>
      <c r="D26" s="69" t="s">
        <v>662</v>
      </c>
      <c r="E26" s="69" t="s">
        <v>186</v>
      </c>
      <c r="F26" s="69" t="s">
        <v>186</v>
      </c>
      <c r="G26" s="69" t="s">
        <v>186</v>
      </c>
      <c r="H26" s="69"/>
      <c r="I26" s="69" t="s">
        <v>186</v>
      </c>
      <c r="J26" s="69"/>
      <c r="K26" s="69" t="s">
        <v>186</v>
      </c>
      <c r="L26" s="69" t="s">
        <v>186</v>
      </c>
      <c r="M26" s="69"/>
      <c r="N26" s="71" t="s">
        <v>300</v>
      </c>
      <c r="O26" s="69" t="s">
        <v>186</v>
      </c>
      <c r="P26" s="69" t="s">
        <v>186</v>
      </c>
      <c r="Q26" s="69"/>
      <c r="R26" s="71" t="s">
        <v>300</v>
      </c>
      <c r="S26" s="69" t="s">
        <v>186</v>
      </c>
      <c r="T26" s="69" t="s">
        <v>186</v>
      </c>
      <c r="U26" s="69"/>
      <c r="V26" s="71" t="s">
        <v>300</v>
      </c>
      <c r="W26" s="69" t="s">
        <v>186</v>
      </c>
      <c r="X26" s="69" t="s">
        <v>186</v>
      </c>
      <c r="Y26" s="69"/>
      <c r="Z26" s="71" t="s">
        <v>300</v>
      </c>
      <c r="AA26" s="69" t="s">
        <v>186</v>
      </c>
      <c r="AB26" s="69" t="s">
        <v>186</v>
      </c>
      <c r="AC26" s="69"/>
      <c r="AD26" s="72" t="s">
        <v>186</v>
      </c>
      <c r="AE26" s="69" t="s">
        <v>186</v>
      </c>
      <c r="AF26" s="69" t="s">
        <v>186</v>
      </c>
      <c r="AG26" s="69"/>
      <c r="AH26" s="71" t="s">
        <v>300</v>
      </c>
      <c r="AI26" s="69" t="s">
        <v>186</v>
      </c>
      <c r="AJ26" s="69" t="s">
        <v>186</v>
      </c>
      <c r="AK26" s="69"/>
      <c r="AL26" s="71" t="s">
        <v>300</v>
      </c>
      <c r="AM26" s="69" t="s">
        <v>186</v>
      </c>
      <c r="AN26" s="69" t="s">
        <v>186</v>
      </c>
      <c r="AO26" s="69"/>
      <c r="AP26" s="71" t="s">
        <v>300</v>
      </c>
      <c r="AQ26" s="69" t="s">
        <v>186</v>
      </c>
      <c r="AR26" s="69" t="s">
        <v>186</v>
      </c>
      <c r="AS26" s="69"/>
      <c r="AT26" s="71" t="s">
        <v>300</v>
      </c>
      <c r="AU26" s="69" t="s">
        <v>186</v>
      </c>
      <c r="AV26" s="69" t="s">
        <v>186</v>
      </c>
      <c r="AW26" s="69"/>
      <c r="AX26" s="72" t="s">
        <v>186</v>
      </c>
      <c r="AY26" s="69" t="s">
        <v>186</v>
      </c>
      <c r="AZ26" s="69" t="s">
        <v>186</v>
      </c>
      <c r="BA26" s="69"/>
      <c r="BB26" s="71" t="s">
        <v>300</v>
      </c>
      <c r="BC26" s="69" t="s">
        <v>186</v>
      </c>
      <c r="BD26" s="69" t="s">
        <v>186</v>
      </c>
      <c r="BE26" s="69"/>
      <c r="BF26" s="71" t="s">
        <v>300</v>
      </c>
      <c r="BG26" s="69" t="s">
        <v>186</v>
      </c>
      <c r="BH26" s="69" t="s">
        <v>186</v>
      </c>
      <c r="BI26" s="69"/>
      <c r="BJ26" s="71" t="s">
        <v>300</v>
      </c>
      <c r="BK26" s="69" t="s">
        <v>186</v>
      </c>
      <c r="BL26" s="69" t="s">
        <v>186</v>
      </c>
      <c r="BM26" s="69"/>
      <c r="BN26" s="71" t="s">
        <v>300</v>
      </c>
      <c r="BO26" s="69" t="s">
        <v>186</v>
      </c>
      <c r="BP26" s="69" t="s">
        <v>186</v>
      </c>
      <c r="BQ26" s="69"/>
      <c r="BR26" s="72" t="s">
        <v>186</v>
      </c>
      <c r="BS26" s="69" t="s">
        <v>186</v>
      </c>
      <c r="BT26" s="69" t="s">
        <v>186</v>
      </c>
      <c r="BU26" s="69"/>
      <c r="BV26" s="71" t="s">
        <v>300</v>
      </c>
      <c r="BW26" s="69" t="s">
        <v>186</v>
      </c>
      <c r="BX26" s="69" t="s">
        <v>186</v>
      </c>
      <c r="BY26" s="69"/>
      <c r="BZ26" s="71" t="s">
        <v>300</v>
      </c>
      <c r="CA26" s="69" t="s">
        <v>186</v>
      </c>
      <c r="CB26" s="69" t="s">
        <v>186</v>
      </c>
      <c r="CC26" s="69"/>
      <c r="CD26" s="71" t="s">
        <v>300</v>
      </c>
      <c r="CE26" s="69" t="s">
        <v>186</v>
      </c>
      <c r="CF26" s="69" t="s">
        <v>186</v>
      </c>
      <c r="CG26" s="69"/>
      <c r="CH26" s="71" t="s">
        <v>300</v>
      </c>
      <c r="CI26" s="69" t="s">
        <v>186</v>
      </c>
      <c r="CJ26" s="69" t="s">
        <v>186</v>
      </c>
      <c r="CK26" s="69"/>
      <c r="CL26" s="72" t="s">
        <v>186</v>
      </c>
      <c r="CM26" s="69" t="s">
        <v>186</v>
      </c>
      <c r="CN26" s="69" t="s">
        <v>186</v>
      </c>
      <c r="CO26" s="69"/>
      <c r="CP26" s="71" t="s">
        <v>300</v>
      </c>
      <c r="CQ26" s="69" t="s">
        <v>186</v>
      </c>
      <c r="CR26" s="69" t="s">
        <v>186</v>
      </c>
      <c r="CS26" s="69"/>
      <c r="CT26" s="71" t="s">
        <v>300</v>
      </c>
      <c r="CU26" s="69" t="s">
        <v>186</v>
      </c>
      <c r="CV26" s="69" t="s">
        <v>186</v>
      </c>
      <c r="CW26" s="69"/>
      <c r="CX26" s="71" t="s">
        <v>300</v>
      </c>
      <c r="CY26" s="69" t="s">
        <v>186</v>
      </c>
      <c r="CZ26" s="69" t="s">
        <v>186</v>
      </c>
      <c r="DA26" s="69"/>
      <c r="DB26" s="71" t="s">
        <v>300</v>
      </c>
      <c r="DC26" s="69" t="s">
        <v>186</v>
      </c>
      <c r="DD26" s="69" t="s">
        <v>186</v>
      </c>
      <c r="DE26" s="69"/>
      <c r="DF26" s="72" t="s">
        <v>186</v>
      </c>
      <c r="DG26" s="69" t="s">
        <v>186</v>
      </c>
      <c r="DH26" s="69" t="s">
        <v>186</v>
      </c>
      <c r="DI26" s="69"/>
      <c r="DJ26" s="71" t="s">
        <v>300</v>
      </c>
      <c r="DK26" s="69" t="s">
        <v>186</v>
      </c>
      <c r="DL26" s="69" t="s">
        <v>186</v>
      </c>
      <c r="DM26" s="69"/>
      <c r="DN26" s="71" t="s">
        <v>300</v>
      </c>
      <c r="DO26" s="69" t="s">
        <v>186</v>
      </c>
      <c r="DP26" s="69" t="s">
        <v>186</v>
      </c>
      <c r="DQ26" s="69"/>
      <c r="DR26" s="71" t="s">
        <v>300</v>
      </c>
      <c r="DS26" s="69" t="s">
        <v>186</v>
      </c>
      <c r="DT26" s="69" t="s">
        <v>186</v>
      </c>
      <c r="DU26" s="69"/>
      <c r="DV26" s="71" t="s">
        <v>300</v>
      </c>
      <c r="DW26" s="69" t="s">
        <v>186</v>
      </c>
      <c r="DX26" s="69" t="s">
        <v>186</v>
      </c>
      <c r="DY26" s="69"/>
      <c r="DZ26" s="72" t="s">
        <v>186</v>
      </c>
    </row>
    <row r="27" spans="1:130" ht="19.5" customHeight="1">
      <c r="A27" s="69">
        <v>12</v>
      </c>
      <c r="B27" s="94" t="s">
        <v>186</v>
      </c>
      <c r="C27" s="69"/>
      <c r="D27" s="69" t="s">
        <v>662</v>
      </c>
      <c r="E27" s="69" t="s">
        <v>186</v>
      </c>
      <c r="F27" s="69" t="s">
        <v>186</v>
      </c>
      <c r="G27" s="69" t="s">
        <v>186</v>
      </c>
      <c r="H27" s="69"/>
      <c r="I27" s="69" t="s">
        <v>186</v>
      </c>
      <c r="J27" s="69"/>
      <c r="K27" s="69" t="s">
        <v>186</v>
      </c>
      <c r="L27" s="69" t="s">
        <v>186</v>
      </c>
      <c r="M27" s="69"/>
      <c r="N27" s="71" t="s">
        <v>300</v>
      </c>
      <c r="O27" s="69" t="s">
        <v>186</v>
      </c>
      <c r="P27" s="69" t="s">
        <v>186</v>
      </c>
      <c r="Q27" s="69"/>
      <c r="R27" s="71" t="s">
        <v>300</v>
      </c>
      <c r="S27" s="69" t="s">
        <v>186</v>
      </c>
      <c r="T27" s="69" t="s">
        <v>186</v>
      </c>
      <c r="U27" s="69"/>
      <c r="V27" s="71" t="s">
        <v>300</v>
      </c>
      <c r="W27" s="69" t="s">
        <v>186</v>
      </c>
      <c r="X27" s="69" t="s">
        <v>186</v>
      </c>
      <c r="Y27" s="69"/>
      <c r="Z27" s="71" t="s">
        <v>300</v>
      </c>
      <c r="AA27" s="69" t="s">
        <v>186</v>
      </c>
      <c r="AB27" s="69" t="s">
        <v>186</v>
      </c>
      <c r="AC27" s="69"/>
      <c r="AD27" s="72" t="s">
        <v>186</v>
      </c>
      <c r="AE27" s="69" t="s">
        <v>186</v>
      </c>
      <c r="AF27" s="69" t="s">
        <v>186</v>
      </c>
      <c r="AG27" s="69"/>
      <c r="AH27" s="71" t="s">
        <v>300</v>
      </c>
      <c r="AI27" s="69" t="s">
        <v>186</v>
      </c>
      <c r="AJ27" s="69" t="s">
        <v>186</v>
      </c>
      <c r="AK27" s="69"/>
      <c r="AL27" s="71" t="s">
        <v>300</v>
      </c>
      <c r="AM27" s="69" t="s">
        <v>186</v>
      </c>
      <c r="AN27" s="69" t="s">
        <v>186</v>
      </c>
      <c r="AO27" s="69"/>
      <c r="AP27" s="71" t="s">
        <v>300</v>
      </c>
      <c r="AQ27" s="69" t="s">
        <v>186</v>
      </c>
      <c r="AR27" s="69" t="s">
        <v>186</v>
      </c>
      <c r="AS27" s="69"/>
      <c r="AT27" s="71" t="s">
        <v>300</v>
      </c>
      <c r="AU27" s="69" t="s">
        <v>186</v>
      </c>
      <c r="AV27" s="69" t="s">
        <v>186</v>
      </c>
      <c r="AW27" s="69"/>
      <c r="AX27" s="72" t="s">
        <v>186</v>
      </c>
      <c r="AY27" s="69" t="s">
        <v>186</v>
      </c>
      <c r="AZ27" s="69" t="s">
        <v>186</v>
      </c>
      <c r="BA27" s="69"/>
      <c r="BB27" s="71" t="s">
        <v>300</v>
      </c>
      <c r="BC27" s="69" t="s">
        <v>186</v>
      </c>
      <c r="BD27" s="69" t="s">
        <v>186</v>
      </c>
      <c r="BE27" s="69"/>
      <c r="BF27" s="71" t="s">
        <v>300</v>
      </c>
      <c r="BG27" s="69" t="s">
        <v>186</v>
      </c>
      <c r="BH27" s="69" t="s">
        <v>186</v>
      </c>
      <c r="BI27" s="69"/>
      <c r="BJ27" s="71" t="s">
        <v>300</v>
      </c>
      <c r="BK27" s="69" t="s">
        <v>186</v>
      </c>
      <c r="BL27" s="69" t="s">
        <v>186</v>
      </c>
      <c r="BM27" s="69"/>
      <c r="BN27" s="71" t="s">
        <v>300</v>
      </c>
      <c r="BO27" s="69" t="s">
        <v>186</v>
      </c>
      <c r="BP27" s="69" t="s">
        <v>186</v>
      </c>
      <c r="BQ27" s="69"/>
      <c r="BR27" s="72" t="s">
        <v>186</v>
      </c>
      <c r="BS27" s="69" t="s">
        <v>186</v>
      </c>
      <c r="BT27" s="69" t="s">
        <v>186</v>
      </c>
      <c r="BU27" s="69"/>
      <c r="BV27" s="71" t="s">
        <v>300</v>
      </c>
      <c r="BW27" s="69" t="s">
        <v>186</v>
      </c>
      <c r="BX27" s="69" t="s">
        <v>186</v>
      </c>
      <c r="BY27" s="69"/>
      <c r="BZ27" s="71" t="s">
        <v>300</v>
      </c>
      <c r="CA27" s="69" t="s">
        <v>186</v>
      </c>
      <c r="CB27" s="69" t="s">
        <v>186</v>
      </c>
      <c r="CC27" s="69"/>
      <c r="CD27" s="71" t="s">
        <v>300</v>
      </c>
      <c r="CE27" s="69" t="s">
        <v>186</v>
      </c>
      <c r="CF27" s="69" t="s">
        <v>186</v>
      </c>
      <c r="CG27" s="69"/>
      <c r="CH27" s="71" t="s">
        <v>300</v>
      </c>
      <c r="CI27" s="69" t="s">
        <v>186</v>
      </c>
      <c r="CJ27" s="69" t="s">
        <v>186</v>
      </c>
      <c r="CK27" s="69"/>
      <c r="CL27" s="72" t="s">
        <v>186</v>
      </c>
      <c r="CM27" s="69" t="s">
        <v>186</v>
      </c>
      <c r="CN27" s="69" t="s">
        <v>186</v>
      </c>
      <c r="CO27" s="69"/>
      <c r="CP27" s="71" t="s">
        <v>300</v>
      </c>
      <c r="CQ27" s="69" t="s">
        <v>186</v>
      </c>
      <c r="CR27" s="69" t="s">
        <v>186</v>
      </c>
      <c r="CS27" s="69"/>
      <c r="CT27" s="71" t="s">
        <v>300</v>
      </c>
      <c r="CU27" s="69" t="s">
        <v>186</v>
      </c>
      <c r="CV27" s="69" t="s">
        <v>186</v>
      </c>
      <c r="CW27" s="69"/>
      <c r="CX27" s="71" t="s">
        <v>300</v>
      </c>
      <c r="CY27" s="69" t="s">
        <v>186</v>
      </c>
      <c r="CZ27" s="69" t="s">
        <v>186</v>
      </c>
      <c r="DA27" s="69"/>
      <c r="DB27" s="71" t="s">
        <v>300</v>
      </c>
      <c r="DC27" s="69" t="s">
        <v>186</v>
      </c>
      <c r="DD27" s="69" t="s">
        <v>186</v>
      </c>
      <c r="DE27" s="69"/>
      <c r="DF27" s="72" t="s">
        <v>186</v>
      </c>
      <c r="DG27" s="69" t="s">
        <v>186</v>
      </c>
      <c r="DH27" s="69" t="s">
        <v>186</v>
      </c>
      <c r="DI27" s="69"/>
      <c r="DJ27" s="71" t="s">
        <v>300</v>
      </c>
      <c r="DK27" s="69" t="s">
        <v>186</v>
      </c>
      <c r="DL27" s="69" t="s">
        <v>186</v>
      </c>
      <c r="DM27" s="69"/>
      <c r="DN27" s="71" t="s">
        <v>300</v>
      </c>
      <c r="DO27" s="69" t="s">
        <v>186</v>
      </c>
      <c r="DP27" s="69" t="s">
        <v>186</v>
      </c>
      <c r="DQ27" s="69"/>
      <c r="DR27" s="71" t="s">
        <v>300</v>
      </c>
      <c r="DS27" s="69" t="s">
        <v>186</v>
      </c>
      <c r="DT27" s="69" t="s">
        <v>186</v>
      </c>
      <c r="DU27" s="69"/>
      <c r="DV27" s="71" t="s">
        <v>300</v>
      </c>
      <c r="DW27" s="69" t="s">
        <v>186</v>
      </c>
      <c r="DX27" s="69" t="s">
        <v>186</v>
      </c>
      <c r="DY27" s="69"/>
      <c r="DZ27" s="72" t="s">
        <v>186</v>
      </c>
    </row>
    <row r="28" spans="1:130" ht="19.5" customHeight="1">
      <c r="A28" s="69">
        <v>13</v>
      </c>
      <c r="B28" s="94" t="s">
        <v>186</v>
      </c>
      <c r="C28" s="69"/>
      <c r="D28" s="69" t="s">
        <v>662</v>
      </c>
      <c r="E28" s="69" t="s">
        <v>186</v>
      </c>
      <c r="F28" s="69" t="s">
        <v>186</v>
      </c>
      <c r="G28" s="69" t="s">
        <v>186</v>
      </c>
      <c r="H28" s="69"/>
      <c r="I28" s="69" t="s">
        <v>186</v>
      </c>
      <c r="J28" s="69"/>
      <c r="K28" s="69" t="s">
        <v>186</v>
      </c>
      <c r="L28" s="69" t="s">
        <v>186</v>
      </c>
      <c r="M28" s="69"/>
      <c r="N28" s="71" t="s">
        <v>300</v>
      </c>
      <c r="O28" s="69" t="s">
        <v>186</v>
      </c>
      <c r="P28" s="69" t="s">
        <v>186</v>
      </c>
      <c r="Q28" s="69"/>
      <c r="R28" s="71" t="s">
        <v>300</v>
      </c>
      <c r="S28" s="69" t="s">
        <v>186</v>
      </c>
      <c r="T28" s="69" t="s">
        <v>186</v>
      </c>
      <c r="U28" s="69"/>
      <c r="V28" s="71" t="s">
        <v>300</v>
      </c>
      <c r="W28" s="69" t="s">
        <v>186</v>
      </c>
      <c r="X28" s="69" t="s">
        <v>186</v>
      </c>
      <c r="Y28" s="69"/>
      <c r="Z28" s="71" t="s">
        <v>300</v>
      </c>
      <c r="AA28" s="69" t="s">
        <v>186</v>
      </c>
      <c r="AB28" s="69" t="s">
        <v>186</v>
      </c>
      <c r="AC28" s="69"/>
      <c r="AD28" s="72" t="s">
        <v>186</v>
      </c>
      <c r="AE28" s="69" t="s">
        <v>186</v>
      </c>
      <c r="AF28" s="69" t="s">
        <v>186</v>
      </c>
      <c r="AG28" s="69"/>
      <c r="AH28" s="71" t="s">
        <v>300</v>
      </c>
      <c r="AI28" s="69" t="s">
        <v>186</v>
      </c>
      <c r="AJ28" s="69" t="s">
        <v>186</v>
      </c>
      <c r="AK28" s="69"/>
      <c r="AL28" s="71" t="s">
        <v>300</v>
      </c>
      <c r="AM28" s="69" t="s">
        <v>186</v>
      </c>
      <c r="AN28" s="69" t="s">
        <v>186</v>
      </c>
      <c r="AO28" s="69"/>
      <c r="AP28" s="71" t="s">
        <v>300</v>
      </c>
      <c r="AQ28" s="69" t="s">
        <v>186</v>
      </c>
      <c r="AR28" s="69" t="s">
        <v>186</v>
      </c>
      <c r="AS28" s="69"/>
      <c r="AT28" s="71" t="s">
        <v>300</v>
      </c>
      <c r="AU28" s="69" t="s">
        <v>186</v>
      </c>
      <c r="AV28" s="69" t="s">
        <v>186</v>
      </c>
      <c r="AW28" s="69"/>
      <c r="AX28" s="72" t="s">
        <v>186</v>
      </c>
      <c r="AY28" s="69" t="s">
        <v>186</v>
      </c>
      <c r="AZ28" s="69" t="s">
        <v>186</v>
      </c>
      <c r="BA28" s="69"/>
      <c r="BB28" s="71" t="s">
        <v>300</v>
      </c>
      <c r="BC28" s="69" t="s">
        <v>186</v>
      </c>
      <c r="BD28" s="69" t="s">
        <v>186</v>
      </c>
      <c r="BE28" s="69"/>
      <c r="BF28" s="71" t="s">
        <v>300</v>
      </c>
      <c r="BG28" s="69" t="s">
        <v>186</v>
      </c>
      <c r="BH28" s="69" t="s">
        <v>186</v>
      </c>
      <c r="BI28" s="69"/>
      <c r="BJ28" s="71" t="s">
        <v>300</v>
      </c>
      <c r="BK28" s="69" t="s">
        <v>186</v>
      </c>
      <c r="BL28" s="69" t="s">
        <v>186</v>
      </c>
      <c r="BM28" s="69"/>
      <c r="BN28" s="71" t="s">
        <v>300</v>
      </c>
      <c r="BO28" s="69" t="s">
        <v>186</v>
      </c>
      <c r="BP28" s="69" t="s">
        <v>186</v>
      </c>
      <c r="BQ28" s="69"/>
      <c r="BR28" s="72" t="s">
        <v>186</v>
      </c>
      <c r="BS28" s="69" t="s">
        <v>186</v>
      </c>
      <c r="BT28" s="69" t="s">
        <v>186</v>
      </c>
      <c r="BU28" s="69"/>
      <c r="BV28" s="71" t="s">
        <v>300</v>
      </c>
      <c r="BW28" s="69" t="s">
        <v>186</v>
      </c>
      <c r="BX28" s="69" t="s">
        <v>186</v>
      </c>
      <c r="BY28" s="69"/>
      <c r="BZ28" s="71" t="s">
        <v>300</v>
      </c>
      <c r="CA28" s="69" t="s">
        <v>186</v>
      </c>
      <c r="CB28" s="69" t="s">
        <v>186</v>
      </c>
      <c r="CC28" s="69"/>
      <c r="CD28" s="71" t="s">
        <v>300</v>
      </c>
      <c r="CE28" s="69" t="s">
        <v>186</v>
      </c>
      <c r="CF28" s="69" t="s">
        <v>186</v>
      </c>
      <c r="CG28" s="69"/>
      <c r="CH28" s="71" t="s">
        <v>300</v>
      </c>
      <c r="CI28" s="69" t="s">
        <v>186</v>
      </c>
      <c r="CJ28" s="69" t="s">
        <v>186</v>
      </c>
      <c r="CK28" s="69"/>
      <c r="CL28" s="72" t="s">
        <v>186</v>
      </c>
      <c r="CM28" s="69" t="s">
        <v>186</v>
      </c>
      <c r="CN28" s="69" t="s">
        <v>186</v>
      </c>
      <c r="CO28" s="69"/>
      <c r="CP28" s="71" t="s">
        <v>300</v>
      </c>
      <c r="CQ28" s="69" t="s">
        <v>186</v>
      </c>
      <c r="CR28" s="69" t="s">
        <v>186</v>
      </c>
      <c r="CS28" s="69"/>
      <c r="CT28" s="71" t="s">
        <v>300</v>
      </c>
      <c r="CU28" s="69" t="s">
        <v>186</v>
      </c>
      <c r="CV28" s="69" t="s">
        <v>186</v>
      </c>
      <c r="CW28" s="69"/>
      <c r="CX28" s="71" t="s">
        <v>300</v>
      </c>
      <c r="CY28" s="69" t="s">
        <v>186</v>
      </c>
      <c r="CZ28" s="69" t="s">
        <v>186</v>
      </c>
      <c r="DA28" s="69"/>
      <c r="DB28" s="71" t="s">
        <v>300</v>
      </c>
      <c r="DC28" s="69" t="s">
        <v>186</v>
      </c>
      <c r="DD28" s="69" t="s">
        <v>186</v>
      </c>
      <c r="DE28" s="69"/>
      <c r="DF28" s="72" t="s">
        <v>186</v>
      </c>
      <c r="DG28" s="69" t="s">
        <v>186</v>
      </c>
      <c r="DH28" s="69" t="s">
        <v>186</v>
      </c>
      <c r="DI28" s="69"/>
      <c r="DJ28" s="71" t="s">
        <v>300</v>
      </c>
      <c r="DK28" s="69" t="s">
        <v>186</v>
      </c>
      <c r="DL28" s="69" t="s">
        <v>186</v>
      </c>
      <c r="DM28" s="69"/>
      <c r="DN28" s="71" t="s">
        <v>300</v>
      </c>
      <c r="DO28" s="69" t="s">
        <v>186</v>
      </c>
      <c r="DP28" s="69" t="s">
        <v>186</v>
      </c>
      <c r="DQ28" s="69"/>
      <c r="DR28" s="71" t="s">
        <v>300</v>
      </c>
      <c r="DS28" s="69" t="s">
        <v>186</v>
      </c>
      <c r="DT28" s="69" t="s">
        <v>186</v>
      </c>
      <c r="DU28" s="69"/>
      <c r="DV28" s="71" t="s">
        <v>300</v>
      </c>
      <c r="DW28" s="69" t="s">
        <v>186</v>
      </c>
      <c r="DX28" s="69" t="s">
        <v>186</v>
      </c>
      <c r="DY28" s="69"/>
      <c r="DZ28" s="72" t="s">
        <v>186</v>
      </c>
    </row>
    <row r="29" spans="1:130" ht="19.5" customHeight="1">
      <c r="A29" s="69">
        <v>14</v>
      </c>
      <c r="B29" s="94" t="s">
        <v>186</v>
      </c>
      <c r="C29" s="69"/>
      <c r="D29" s="69" t="s">
        <v>662</v>
      </c>
      <c r="E29" s="69" t="s">
        <v>186</v>
      </c>
      <c r="F29" s="69" t="s">
        <v>186</v>
      </c>
      <c r="G29" s="69" t="s">
        <v>186</v>
      </c>
      <c r="H29" s="69"/>
      <c r="I29" s="69" t="s">
        <v>186</v>
      </c>
      <c r="J29" s="69"/>
      <c r="K29" s="69" t="s">
        <v>186</v>
      </c>
      <c r="L29" s="69" t="s">
        <v>186</v>
      </c>
      <c r="M29" s="69"/>
      <c r="N29" s="71" t="s">
        <v>300</v>
      </c>
      <c r="O29" s="69" t="s">
        <v>186</v>
      </c>
      <c r="P29" s="69" t="s">
        <v>186</v>
      </c>
      <c r="Q29" s="69"/>
      <c r="R29" s="71" t="s">
        <v>300</v>
      </c>
      <c r="S29" s="69" t="s">
        <v>186</v>
      </c>
      <c r="T29" s="69" t="s">
        <v>186</v>
      </c>
      <c r="U29" s="69"/>
      <c r="V29" s="71" t="s">
        <v>300</v>
      </c>
      <c r="W29" s="69" t="s">
        <v>186</v>
      </c>
      <c r="X29" s="69" t="s">
        <v>186</v>
      </c>
      <c r="Y29" s="69"/>
      <c r="Z29" s="71" t="s">
        <v>300</v>
      </c>
      <c r="AA29" s="69" t="s">
        <v>186</v>
      </c>
      <c r="AB29" s="69" t="s">
        <v>186</v>
      </c>
      <c r="AC29" s="69"/>
      <c r="AD29" s="72" t="s">
        <v>186</v>
      </c>
      <c r="AE29" s="69" t="s">
        <v>186</v>
      </c>
      <c r="AF29" s="69" t="s">
        <v>186</v>
      </c>
      <c r="AG29" s="69"/>
      <c r="AH29" s="71" t="s">
        <v>300</v>
      </c>
      <c r="AI29" s="69" t="s">
        <v>186</v>
      </c>
      <c r="AJ29" s="69" t="s">
        <v>186</v>
      </c>
      <c r="AK29" s="69"/>
      <c r="AL29" s="71" t="s">
        <v>300</v>
      </c>
      <c r="AM29" s="69" t="s">
        <v>186</v>
      </c>
      <c r="AN29" s="69" t="s">
        <v>186</v>
      </c>
      <c r="AO29" s="69"/>
      <c r="AP29" s="71" t="s">
        <v>300</v>
      </c>
      <c r="AQ29" s="69" t="s">
        <v>186</v>
      </c>
      <c r="AR29" s="69" t="s">
        <v>186</v>
      </c>
      <c r="AS29" s="69"/>
      <c r="AT29" s="71" t="s">
        <v>300</v>
      </c>
      <c r="AU29" s="69" t="s">
        <v>186</v>
      </c>
      <c r="AV29" s="69" t="s">
        <v>186</v>
      </c>
      <c r="AW29" s="69"/>
      <c r="AX29" s="72" t="s">
        <v>186</v>
      </c>
      <c r="AY29" s="69" t="s">
        <v>186</v>
      </c>
      <c r="AZ29" s="69" t="s">
        <v>186</v>
      </c>
      <c r="BA29" s="69"/>
      <c r="BB29" s="71" t="s">
        <v>300</v>
      </c>
      <c r="BC29" s="69" t="s">
        <v>186</v>
      </c>
      <c r="BD29" s="69" t="s">
        <v>186</v>
      </c>
      <c r="BE29" s="69"/>
      <c r="BF29" s="71" t="s">
        <v>300</v>
      </c>
      <c r="BG29" s="69" t="s">
        <v>186</v>
      </c>
      <c r="BH29" s="69" t="s">
        <v>186</v>
      </c>
      <c r="BI29" s="69"/>
      <c r="BJ29" s="71" t="s">
        <v>300</v>
      </c>
      <c r="BK29" s="69" t="s">
        <v>186</v>
      </c>
      <c r="BL29" s="69" t="s">
        <v>186</v>
      </c>
      <c r="BM29" s="69"/>
      <c r="BN29" s="71" t="s">
        <v>300</v>
      </c>
      <c r="BO29" s="69" t="s">
        <v>186</v>
      </c>
      <c r="BP29" s="69" t="s">
        <v>186</v>
      </c>
      <c r="BQ29" s="69"/>
      <c r="BR29" s="72" t="s">
        <v>186</v>
      </c>
      <c r="BS29" s="69" t="s">
        <v>186</v>
      </c>
      <c r="BT29" s="69" t="s">
        <v>186</v>
      </c>
      <c r="BU29" s="69"/>
      <c r="BV29" s="71" t="s">
        <v>300</v>
      </c>
      <c r="BW29" s="69" t="s">
        <v>186</v>
      </c>
      <c r="BX29" s="69" t="s">
        <v>186</v>
      </c>
      <c r="BY29" s="69"/>
      <c r="BZ29" s="71" t="s">
        <v>300</v>
      </c>
      <c r="CA29" s="69" t="s">
        <v>186</v>
      </c>
      <c r="CB29" s="69" t="s">
        <v>186</v>
      </c>
      <c r="CC29" s="69"/>
      <c r="CD29" s="71" t="s">
        <v>300</v>
      </c>
      <c r="CE29" s="69" t="s">
        <v>186</v>
      </c>
      <c r="CF29" s="69" t="s">
        <v>186</v>
      </c>
      <c r="CG29" s="69"/>
      <c r="CH29" s="71" t="s">
        <v>300</v>
      </c>
      <c r="CI29" s="69" t="s">
        <v>186</v>
      </c>
      <c r="CJ29" s="69" t="s">
        <v>186</v>
      </c>
      <c r="CK29" s="69"/>
      <c r="CL29" s="72" t="s">
        <v>186</v>
      </c>
      <c r="CM29" s="69" t="s">
        <v>186</v>
      </c>
      <c r="CN29" s="69" t="s">
        <v>186</v>
      </c>
      <c r="CO29" s="69"/>
      <c r="CP29" s="71" t="s">
        <v>300</v>
      </c>
      <c r="CQ29" s="69" t="s">
        <v>186</v>
      </c>
      <c r="CR29" s="69" t="s">
        <v>186</v>
      </c>
      <c r="CS29" s="69"/>
      <c r="CT29" s="71" t="s">
        <v>300</v>
      </c>
      <c r="CU29" s="69" t="s">
        <v>186</v>
      </c>
      <c r="CV29" s="69" t="s">
        <v>186</v>
      </c>
      <c r="CW29" s="69"/>
      <c r="CX29" s="71" t="s">
        <v>300</v>
      </c>
      <c r="CY29" s="69" t="s">
        <v>186</v>
      </c>
      <c r="CZ29" s="69" t="s">
        <v>186</v>
      </c>
      <c r="DA29" s="69"/>
      <c r="DB29" s="71" t="s">
        <v>300</v>
      </c>
      <c r="DC29" s="69" t="s">
        <v>186</v>
      </c>
      <c r="DD29" s="69" t="s">
        <v>186</v>
      </c>
      <c r="DE29" s="69"/>
      <c r="DF29" s="72" t="s">
        <v>186</v>
      </c>
      <c r="DG29" s="69" t="s">
        <v>186</v>
      </c>
      <c r="DH29" s="69" t="s">
        <v>186</v>
      </c>
      <c r="DI29" s="69"/>
      <c r="DJ29" s="71" t="s">
        <v>300</v>
      </c>
      <c r="DK29" s="69" t="s">
        <v>186</v>
      </c>
      <c r="DL29" s="69" t="s">
        <v>186</v>
      </c>
      <c r="DM29" s="69"/>
      <c r="DN29" s="71" t="s">
        <v>300</v>
      </c>
      <c r="DO29" s="69" t="s">
        <v>186</v>
      </c>
      <c r="DP29" s="69" t="s">
        <v>186</v>
      </c>
      <c r="DQ29" s="69"/>
      <c r="DR29" s="71" t="s">
        <v>300</v>
      </c>
      <c r="DS29" s="69" t="s">
        <v>186</v>
      </c>
      <c r="DT29" s="69" t="s">
        <v>186</v>
      </c>
      <c r="DU29" s="69"/>
      <c r="DV29" s="71" t="s">
        <v>300</v>
      </c>
      <c r="DW29" s="69" t="s">
        <v>186</v>
      </c>
      <c r="DX29" s="69" t="s">
        <v>186</v>
      </c>
      <c r="DY29" s="69"/>
      <c r="DZ29" s="72" t="s">
        <v>186</v>
      </c>
    </row>
    <row r="30" spans="1:130" ht="19.5" customHeight="1">
      <c r="A30" s="69">
        <v>15</v>
      </c>
      <c r="B30" s="94" t="s">
        <v>186</v>
      </c>
      <c r="C30" s="69"/>
      <c r="D30" s="69" t="s">
        <v>662</v>
      </c>
      <c r="E30" s="69" t="s">
        <v>186</v>
      </c>
      <c r="F30" s="69" t="s">
        <v>186</v>
      </c>
      <c r="G30" s="69" t="s">
        <v>186</v>
      </c>
      <c r="H30" s="69"/>
      <c r="I30" s="69" t="s">
        <v>186</v>
      </c>
      <c r="J30" s="69"/>
      <c r="K30" s="69" t="s">
        <v>186</v>
      </c>
      <c r="L30" s="69" t="s">
        <v>186</v>
      </c>
      <c r="M30" s="69"/>
      <c r="N30" s="71" t="s">
        <v>300</v>
      </c>
      <c r="O30" s="69" t="s">
        <v>186</v>
      </c>
      <c r="P30" s="69" t="s">
        <v>186</v>
      </c>
      <c r="Q30" s="69"/>
      <c r="R30" s="71" t="s">
        <v>300</v>
      </c>
      <c r="S30" s="69" t="s">
        <v>186</v>
      </c>
      <c r="T30" s="69" t="s">
        <v>186</v>
      </c>
      <c r="U30" s="69"/>
      <c r="V30" s="71" t="s">
        <v>300</v>
      </c>
      <c r="W30" s="69" t="s">
        <v>186</v>
      </c>
      <c r="X30" s="69" t="s">
        <v>186</v>
      </c>
      <c r="Y30" s="69"/>
      <c r="Z30" s="71" t="s">
        <v>300</v>
      </c>
      <c r="AA30" s="69" t="s">
        <v>186</v>
      </c>
      <c r="AB30" s="69" t="s">
        <v>186</v>
      </c>
      <c r="AC30" s="69"/>
      <c r="AD30" s="72" t="s">
        <v>186</v>
      </c>
      <c r="AE30" s="69" t="s">
        <v>186</v>
      </c>
      <c r="AF30" s="69" t="s">
        <v>186</v>
      </c>
      <c r="AG30" s="69"/>
      <c r="AH30" s="71" t="s">
        <v>300</v>
      </c>
      <c r="AI30" s="69" t="s">
        <v>186</v>
      </c>
      <c r="AJ30" s="69" t="s">
        <v>186</v>
      </c>
      <c r="AK30" s="69"/>
      <c r="AL30" s="71" t="s">
        <v>300</v>
      </c>
      <c r="AM30" s="69" t="s">
        <v>186</v>
      </c>
      <c r="AN30" s="69" t="s">
        <v>186</v>
      </c>
      <c r="AO30" s="69"/>
      <c r="AP30" s="71" t="s">
        <v>300</v>
      </c>
      <c r="AQ30" s="69" t="s">
        <v>186</v>
      </c>
      <c r="AR30" s="69" t="s">
        <v>186</v>
      </c>
      <c r="AS30" s="69"/>
      <c r="AT30" s="71" t="s">
        <v>300</v>
      </c>
      <c r="AU30" s="69" t="s">
        <v>186</v>
      </c>
      <c r="AV30" s="69" t="s">
        <v>186</v>
      </c>
      <c r="AW30" s="69"/>
      <c r="AX30" s="72" t="s">
        <v>186</v>
      </c>
      <c r="AY30" s="69" t="s">
        <v>186</v>
      </c>
      <c r="AZ30" s="69" t="s">
        <v>186</v>
      </c>
      <c r="BA30" s="69"/>
      <c r="BB30" s="71" t="s">
        <v>300</v>
      </c>
      <c r="BC30" s="69" t="s">
        <v>186</v>
      </c>
      <c r="BD30" s="69" t="s">
        <v>186</v>
      </c>
      <c r="BE30" s="69"/>
      <c r="BF30" s="71" t="s">
        <v>300</v>
      </c>
      <c r="BG30" s="69" t="s">
        <v>186</v>
      </c>
      <c r="BH30" s="69" t="s">
        <v>186</v>
      </c>
      <c r="BI30" s="69"/>
      <c r="BJ30" s="71" t="s">
        <v>300</v>
      </c>
      <c r="BK30" s="69" t="s">
        <v>186</v>
      </c>
      <c r="BL30" s="69" t="s">
        <v>186</v>
      </c>
      <c r="BM30" s="69"/>
      <c r="BN30" s="71" t="s">
        <v>300</v>
      </c>
      <c r="BO30" s="69" t="s">
        <v>186</v>
      </c>
      <c r="BP30" s="69" t="s">
        <v>186</v>
      </c>
      <c r="BQ30" s="69"/>
      <c r="BR30" s="72" t="s">
        <v>186</v>
      </c>
      <c r="BS30" s="69" t="s">
        <v>186</v>
      </c>
      <c r="BT30" s="69" t="s">
        <v>186</v>
      </c>
      <c r="BU30" s="69"/>
      <c r="BV30" s="71" t="s">
        <v>300</v>
      </c>
      <c r="BW30" s="69" t="s">
        <v>186</v>
      </c>
      <c r="BX30" s="69" t="s">
        <v>186</v>
      </c>
      <c r="BY30" s="69"/>
      <c r="BZ30" s="71" t="s">
        <v>300</v>
      </c>
      <c r="CA30" s="69" t="s">
        <v>186</v>
      </c>
      <c r="CB30" s="69" t="s">
        <v>186</v>
      </c>
      <c r="CC30" s="69"/>
      <c r="CD30" s="71" t="s">
        <v>300</v>
      </c>
      <c r="CE30" s="69" t="s">
        <v>186</v>
      </c>
      <c r="CF30" s="69" t="s">
        <v>186</v>
      </c>
      <c r="CG30" s="69"/>
      <c r="CH30" s="71" t="s">
        <v>300</v>
      </c>
      <c r="CI30" s="69" t="s">
        <v>186</v>
      </c>
      <c r="CJ30" s="69" t="s">
        <v>186</v>
      </c>
      <c r="CK30" s="69"/>
      <c r="CL30" s="72" t="s">
        <v>186</v>
      </c>
      <c r="CM30" s="69" t="s">
        <v>186</v>
      </c>
      <c r="CN30" s="69" t="s">
        <v>186</v>
      </c>
      <c r="CO30" s="69"/>
      <c r="CP30" s="71" t="s">
        <v>300</v>
      </c>
      <c r="CQ30" s="69" t="s">
        <v>186</v>
      </c>
      <c r="CR30" s="69" t="s">
        <v>186</v>
      </c>
      <c r="CS30" s="69"/>
      <c r="CT30" s="71" t="s">
        <v>300</v>
      </c>
      <c r="CU30" s="69" t="s">
        <v>186</v>
      </c>
      <c r="CV30" s="69" t="s">
        <v>186</v>
      </c>
      <c r="CW30" s="69"/>
      <c r="CX30" s="71" t="s">
        <v>300</v>
      </c>
      <c r="CY30" s="69" t="s">
        <v>186</v>
      </c>
      <c r="CZ30" s="69" t="s">
        <v>186</v>
      </c>
      <c r="DA30" s="69"/>
      <c r="DB30" s="71" t="s">
        <v>300</v>
      </c>
      <c r="DC30" s="69" t="s">
        <v>186</v>
      </c>
      <c r="DD30" s="69" t="s">
        <v>186</v>
      </c>
      <c r="DE30" s="69"/>
      <c r="DF30" s="72" t="s">
        <v>186</v>
      </c>
      <c r="DG30" s="69" t="s">
        <v>186</v>
      </c>
      <c r="DH30" s="69" t="s">
        <v>186</v>
      </c>
      <c r="DI30" s="69"/>
      <c r="DJ30" s="71" t="s">
        <v>300</v>
      </c>
      <c r="DK30" s="69" t="s">
        <v>186</v>
      </c>
      <c r="DL30" s="69" t="s">
        <v>186</v>
      </c>
      <c r="DM30" s="69"/>
      <c r="DN30" s="71" t="s">
        <v>300</v>
      </c>
      <c r="DO30" s="69" t="s">
        <v>186</v>
      </c>
      <c r="DP30" s="69" t="s">
        <v>186</v>
      </c>
      <c r="DQ30" s="69"/>
      <c r="DR30" s="71" t="s">
        <v>300</v>
      </c>
      <c r="DS30" s="69" t="s">
        <v>186</v>
      </c>
      <c r="DT30" s="69" t="s">
        <v>186</v>
      </c>
      <c r="DU30" s="69"/>
      <c r="DV30" s="71" t="s">
        <v>300</v>
      </c>
      <c r="DW30" s="69" t="s">
        <v>186</v>
      </c>
      <c r="DX30" s="69" t="s">
        <v>186</v>
      </c>
      <c r="DY30" s="69"/>
      <c r="DZ30" s="72" t="s">
        <v>186</v>
      </c>
    </row>
    <row r="31" spans="1:130" ht="19.5" customHeight="1">
      <c r="A31" s="69">
        <v>16</v>
      </c>
      <c r="B31" s="94" t="s">
        <v>186</v>
      </c>
      <c r="C31" s="69"/>
      <c r="D31" s="69" t="s">
        <v>662</v>
      </c>
      <c r="E31" s="69" t="s">
        <v>186</v>
      </c>
      <c r="F31" s="69" t="s">
        <v>186</v>
      </c>
      <c r="G31" s="69" t="s">
        <v>186</v>
      </c>
      <c r="H31" s="69"/>
      <c r="I31" s="69" t="s">
        <v>186</v>
      </c>
      <c r="J31" s="69"/>
      <c r="K31" s="69" t="s">
        <v>186</v>
      </c>
      <c r="L31" s="69" t="s">
        <v>186</v>
      </c>
      <c r="M31" s="69"/>
      <c r="N31" s="71" t="s">
        <v>300</v>
      </c>
      <c r="O31" s="69" t="s">
        <v>186</v>
      </c>
      <c r="P31" s="69" t="s">
        <v>186</v>
      </c>
      <c r="Q31" s="69"/>
      <c r="R31" s="71" t="s">
        <v>300</v>
      </c>
      <c r="S31" s="69" t="s">
        <v>186</v>
      </c>
      <c r="T31" s="69" t="s">
        <v>186</v>
      </c>
      <c r="U31" s="69"/>
      <c r="V31" s="71" t="s">
        <v>300</v>
      </c>
      <c r="W31" s="69" t="s">
        <v>186</v>
      </c>
      <c r="X31" s="69" t="s">
        <v>186</v>
      </c>
      <c r="Y31" s="69"/>
      <c r="Z31" s="71" t="s">
        <v>300</v>
      </c>
      <c r="AA31" s="69" t="s">
        <v>186</v>
      </c>
      <c r="AB31" s="69" t="s">
        <v>186</v>
      </c>
      <c r="AC31" s="69"/>
      <c r="AD31" s="72" t="s">
        <v>186</v>
      </c>
      <c r="AE31" s="69" t="s">
        <v>186</v>
      </c>
      <c r="AF31" s="69" t="s">
        <v>186</v>
      </c>
      <c r="AG31" s="69"/>
      <c r="AH31" s="71" t="s">
        <v>300</v>
      </c>
      <c r="AI31" s="69" t="s">
        <v>186</v>
      </c>
      <c r="AJ31" s="69" t="s">
        <v>186</v>
      </c>
      <c r="AK31" s="69"/>
      <c r="AL31" s="71" t="s">
        <v>300</v>
      </c>
      <c r="AM31" s="69" t="s">
        <v>186</v>
      </c>
      <c r="AN31" s="69" t="s">
        <v>186</v>
      </c>
      <c r="AO31" s="69"/>
      <c r="AP31" s="71" t="s">
        <v>300</v>
      </c>
      <c r="AQ31" s="69" t="s">
        <v>186</v>
      </c>
      <c r="AR31" s="69" t="s">
        <v>186</v>
      </c>
      <c r="AS31" s="69"/>
      <c r="AT31" s="71" t="s">
        <v>300</v>
      </c>
      <c r="AU31" s="69" t="s">
        <v>186</v>
      </c>
      <c r="AV31" s="69" t="s">
        <v>186</v>
      </c>
      <c r="AW31" s="69"/>
      <c r="AX31" s="72" t="s">
        <v>186</v>
      </c>
      <c r="AY31" s="69" t="s">
        <v>186</v>
      </c>
      <c r="AZ31" s="69" t="s">
        <v>186</v>
      </c>
      <c r="BA31" s="69"/>
      <c r="BB31" s="71" t="s">
        <v>300</v>
      </c>
      <c r="BC31" s="69" t="s">
        <v>186</v>
      </c>
      <c r="BD31" s="69" t="s">
        <v>186</v>
      </c>
      <c r="BE31" s="69"/>
      <c r="BF31" s="71" t="s">
        <v>300</v>
      </c>
      <c r="BG31" s="69" t="s">
        <v>186</v>
      </c>
      <c r="BH31" s="69" t="s">
        <v>186</v>
      </c>
      <c r="BI31" s="69"/>
      <c r="BJ31" s="71" t="s">
        <v>300</v>
      </c>
      <c r="BK31" s="69" t="s">
        <v>186</v>
      </c>
      <c r="BL31" s="69" t="s">
        <v>186</v>
      </c>
      <c r="BM31" s="69"/>
      <c r="BN31" s="71" t="s">
        <v>300</v>
      </c>
      <c r="BO31" s="69" t="s">
        <v>186</v>
      </c>
      <c r="BP31" s="69" t="s">
        <v>186</v>
      </c>
      <c r="BQ31" s="69"/>
      <c r="BR31" s="72" t="s">
        <v>186</v>
      </c>
      <c r="BS31" s="69" t="s">
        <v>186</v>
      </c>
      <c r="BT31" s="69" t="s">
        <v>186</v>
      </c>
      <c r="BU31" s="69"/>
      <c r="BV31" s="71" t="s">
        <v>300</v>
      </c>
      <c r="BW31" s="69" t="s">
        <v>186</v>
      </c>
      <c r="BX31" s="69" t="s">
        <v>186</v>
      </c>
      <c r="BY31" s="69"/>
      <c r="BZ31" s="71" t="s">
        <v>300</v>
      </c>
      <c r="CA31" s="69" t="s">
        <v>186</v>
      </c>
      <c r="CB31" s="69" t="s">
        <v>186</v>
      </c>
      <c r="CC31" s="69"/>
      <c r="CD31" s="71" t="s">
        <v>300</v>
      </c>
      <c r="CE31" s="69" t="s">
        <v>186</v>
      </c>
      <c r="CF31" s="69" t="s">
        <v>186</v>
      </c>
      <c r="CG31" s="69"/>
      <c r="CH31" s="71" t="s">
        <v>300</v>
      </c>
      <c r="CI31" s="69" t="s">
        <v>186</v>
      </c>
      <c r="CJ31" s="69" t="s">
        <v>186</v>
      </c>
      <c r="CK31" s="69"/>
      <c r="CL31" s="72" t="s">
        <v>186</v>
      </c>
      <c r="CM31" s="69" t="s">
        <v>186</v>
      </c>
      <c r="CN31" s="69" t="s">
        <v>186</v>
      </c>
      <c r="CO31" s="69"/>
      <c r="CP31" s="71" t="s">
        <v>300</v>
      </c>
      <c r="CQ31" s="69" t="s">
        <v>186</v>
      </c>
      <c r="CR31" s="69" t="s">
        <v>186</v>
      </c>
      <c r="CS31" s="69"/>
      <c r="CT31" s="71" t="s">
        <v>300</v>
      </c>
      <c r="CU31" s="69" t="s">
        <v>186</v>
      </c>
      <c r="CV31" s="69" t="s">
        <v>186</v>
      </c>
      <c r="CW31" s="69"/>
      <c r="CX31" s="71" t="s">
        <v>300</v>
      </c>
      <c r="CY31" s="69" t="s">
        <v>186</v>
      </c>
      <c r="CZ31" s="69" t="s">
        <v>186</v>
      </c>
      <c r="DA31" s="69"/>
      <c r="DB31" s="71" t="s">
        <v>300</v>
      </c>
      <c r="DC31" s="69" t="s">
        <v>186</v>
      </c>
      <c r="DD31" s="69" t="s">
        <v>186</v>
      </c>
      <c r="DE31" s="69"/>
      <c r="DF31" s="72" t="s">
        <v>186</v>
      </c>
      <c r="DG31" s="69" t="s">
        <v>186</v>
      </c>
      <c r="DH31" s="69" t="s">
        <v>186</v>
      </c>
      <c r="DI31" s="69"/>
      <c r="DJ31" s="71" t="s">
        <v>300</v>
      </c>
      <c r="DK31" s="69" t="s">
        <v>186</v>
      </c>
      <c r="DL31" s="69" t="s">
        <v>186</v>
      </c>
      <c r="DM31" s="69"/>
      <c r="DN31" s="71" t="s">
        <v>300</v>
      </c>
      <c r="DO31" s="69" t="s">
        <v>186</v>
      </c>
      <c r="DP31" s="69" t="s">
        <v>186</v>
      </c>
      <c r="DQ31" s="69"/>
      <c r="DR31" s="71" t="s">
        <v>300</v>
      </c>
      <c r="DS31" s="69" t="s">
        <v>186</v>
      </c>
      <c r="DT31" s="69" t="s">
        <v>186</v>
      </c>
      <c r="DU31" s="69"/>
      <c r="DV31" s="71" t="s">
        <v>300</v>
      </c>
      <c r="DW31" s="69" t="s">
        <v>186</v>
      </c>
      <c r="DX31" s="69" t="s">
        <v>186</v>
      </c>
      <c r="DY31" s="69"/>
      <c r="DZ31" s="72" t="s">
        <v>186</v>
      </c>
    </row>
    <row r="32" spans="1:130" ht="19.5" customHeight="1">
      <c r="A32" s="69">
        <v>17</v>
      </c>
      <c r="B32" s="94" t="s">
        <v>186</v>
      </c>
      <c r="C32" s="69"/>
      <c r="D32" s="69" t="s">
        <v>662</v>
      </c>
      <c r="E32" s="69" t="s">
        <v>186</v>
      </c>
      <c r="F32" s="69" t="s">
        <v>186</v>
      </c>
      <c r="G32" s="69" t="s">
        <v>186</v>
      </c>
      <c r="H32" s="69"/>
      <c r="I32" s="69" t="s">
        <v>186</v>
      </c>
      <c r="J32" s="69"/>
      <c r="K32" s="69" t="s">
        <v>186</v>
      </c>
      <c r="L32" s="69" t="s">
        <v>186</v>
      </c>
      <c r="M32" s="69"/>
      <c r="N32" s="71" t="s">
        <v>300</v>
      </c>
      <c r="O32" s="69" t="s">
        <v>186</v>
      </c>
      <c r="P32" s="69" t="s">
        <v>186</v>
      </c>
      <c r="Q32" s="69"/>
      <c r="R32" s="71" t="s">
        <v>300</v>
      </c>
      <c r="S32" s="69" t="s">
        <v>186</v>
      </c>
      <c r="T32" s="69" t="s">
        <v>186</v>
      </c>
      <c r="U32" s="69"/>
      <c r="V32" s="71" t="s">
        <v>300</v>
      </c>
      <c r="W32" s="69" t="s">
        <v>186</v>
      </c>
      <c r="X32" s="69" t="s">
        <v>186</v>
      </c>
      <c r="Y32" s="69"/>
      <c r="Z32" s="71" t="s">
        <v>300</v>
      </c>
      <c r="AA32" s="69" t="s">
        <v>186</v>
      </c>
      <c r="AB32" s="69" t="s">
        <v>186</v>
      </c>
      <c r="AC32" s="69"/>
      <c r="AD32" s="72" t="s">
        <v>186</v>
      </c>
      <c r="AE32" s="69" t="s">
        <v>186</v>
      </c>
      <c r="AF32" s="69" t="s">
        <v>186</v>
      </c>
      <c r="AG32" s="69"/>
      <c r="AH32" s="71" t="s">
        <v>300</v>
      </c>
      <c r="AI32" s="69" t="s">
        <v>186</v>
      </c>
      <c r="AJ32" s="69" t="s">
        <v>186</v>
      </c>
      <c r="AK32" s="69"/>
      <c r="AL32" s="71" t="s">
        <v>300</v>
      </c>
      <c r="AM32" s="69" t="s">
        <v>186</v>
      </c>
      <c r="AN32" s="69" t="s">
        <v>186</v>
      </c>
      <c r="AO32" s="69"/>
      <c r="AP32" s="71" t="s">
        <v>300</v>
      </c>
      <c r="AQ32" s="69" t="s">
        <v>186</v>
      </c>
      <c r="AR32" s="69" t="s">
        <v>186</v>
      </c>
      <c r="AS32" s="69"/>
      <c r="AT32" s="71" t="s">
        <v>300</v>
      </c>
      <c r="AU32" s="69" t="s">
        <v>186</v>
      </c>
      <c r="AV32" s="69" t="s">
        <v>186</v>
      </c>
      <c r="AW32" s="69"/>
      <c r="AX32" s="72" t="s">
        <v>186</v>
      </c>
      <c r="AY32" s="69" t="s">
        <v>186</v>
      </c>
      <c r="AZ32" s="69" t="s">
        <v>186</v>
      </c>
      <c r="BA32" s="69"/>
      <c r="BB32" s="71" t="s">
        <v>300</v>
      </c>
      <c r="BC32" s="69" t="s">
        <v>186</v>
      </c>
      <c r="BD32" s="69" t="s">
        <v>186</v>
      </c>
      <c r="BE32" s="69"/>
      <c r="BF32" s="71" t="s">
        <v>300</v>
      </c>
      <c r="BG32" s="69" t="s">
        <v>186</v>
      </c>
      <c r="BH32" s="69" t="s">
        <v>186</v>
      </c>
      <c r="BI32" s="69"/>
      <c r="BJ32" s="71" t="s">
        <v>300</v>
      </c>
      <c r="BK32" s="69" t="s">
        <v>186</v>
      </c>
      <c r="BL32" s="69" t="s">
        <v>186</v>
      </c>
      <c r="BM32" s="69"/>
      <c r="BN32" s="71" t="s">
        <v>300</v>
      </c>
      <c r="BO32" s="69" t="s">
        <v>186</v>
      </c>
      <c r="BP32" s="69" t="s">
        <v>186</v>
      </c>
      <c r="BQ32" s="69"/>
      <c r="BR32" s="72" t="s">
        <v>186</v>
      </c>
      <c r="BS32" s="69" t="s">
        <v>186</v>
      </c>
      <c r="BT32" s="69" t="s">
        <v>186</v>
      </c>
      <c r="BU32" s="69"/>
      <c r="BV32" s="71" t="s">
        <v>300</v>
      </c>
      <c r="BW32" s="69" t="s">
        <v>186</v>
      </c>
      <c r="BX32" s="69" t="s">
        <v>186</v>
      </c>
      <c r="BY32" s="69"/>
      <c r="BZ32" s="71" t="s">
        <v>300</v>
      </c>
      <c r="CA32" s="69" t="s">
        <v>186</v>
      </c>
      <c r="CB32" s="69" t="s">
        <v>186</v>
      </c>
      <c r="CC32" s="69"/>
      <c r="CD32" s="71" t="s">
        <v>300</v>
      </c>
      <c r="CE32" s="69" t="s">
        <v>186</v>
      </c>
      <c r="CF32" s="69" t="s">
        <v>186</v>
      </c>
      <c r="CG32" s="69"/>
      <c r="CH32" s="71" t="s">
        <v>300</v>
      </c>
      <c r="CI32" s="69" t="s">
        <v>186</v>
      </c>
      <c r="CJ32" s="69" t="s">
        <v>186</v>
      </c>
      <c r="CK32" s="69"/>
      <c r="CL32" s="72" t="s">
        <v>186</v>
      </c>
      <c r="CM32" s="69" t="s">
        <v>186</v>
      </c>
      <c r="CN32" s="69" t="s">
        <v>186</v>
      </c>
      <c r="CO32" s="69"/>
      <c r="CP32" s="71" t="s">
        <v>300</v>
      </c>
      <c r="CQ32" s="69" t="s">
        <v>186</v>
      </c>
      <c r="CR32" s="69" t="s">
        <v>186</v>
      </c>
      <c r="CS32" s="69"/>
      <c r="CT32" s="71" t="s">
        <v>300</v>
      </c>
      <c r="CU32" s="69" t="s">
        <v>186</v>
      </c>
      <c r="CV32" s="69" t="s">
        <v>186</v>
      </c>
      <c r="CW32" s="69"/>
      <c r="CX32" s="71" t="s">
        <v>300</v>
      </c>
      <c r="CY32" s="69" t="s">
        <v>186</v>
      </c>
      <c r="CZ32" s="69" t="s">
        <v>186</v>
      </c>
      <c r="DA32" s="69"/>
      <c r="DB32" s="71" t="s">
        <v>300</v>
      </c>
      <c r="DC32" s="69" t="s">
        <v>186</v>
      </c>
      <c r="DD32" s="69" t="s">
        <v>186</v>
      </c>
      <c r="DE32" s="69"/>
      <c r="DF32" s="72" t="s">
        <v>186</v>
      </c>
      <c r="DG32" s="69" t="s">
        <v>186</v>
      </c>
      <c r="DH32" s="69" t="s">
        <v>186</v>
      </c>
      <c r="DI32" s="69"/>
      <c r="DJ32" s="71" t="s">
        <v>300</v>
      </c>
      <c r="DK32" s="69" t="s">
        <v>186</v>
      </c>
      <c r="DL32" s="69" t="s">
        <v>186</v>
      </c>
      <c r="DM32" s="69"/>
      <c r="DN32" s="71" t="s">
        <v>300</v>
      </c>
      <c r="DO32" s="69" t="s">
        <v>186</v>
      </c>
      <c r="DP32" s="69" t="s">
        <v>186</v>
      </c>
      <c r="DQ32" s="69"/>
      <c r="DR32" s="71" t="s">
        <v>300</v>
      </c>
      <c r="DS32" s="69" t="s">
        <v>186</v>
      </c>
      <c r="DT32" s="69" t="s">
        <v>186</v>
      </c>
      <c r="DU32" s="69"/>
      <c r="DV32" s="71" t="s">
        <v>300</v>
      </c>
      <c r="DW32" s="69" t="s">
        <v>186</v>
      </c>
      <c r="DX32" s="69" t="s">
        <v>186</v>
      </c>
      <c r="DY32" s="69"/>
      <c r="DZ32" s="72" t="s">
        <v>186</v>
      </c>
    </row>
    <row r="33" spans="1:130" ht="19.5" customHeight="1">
      <c r="A33" s="69">
        <v>18</v>
      </c>
      <c r="B33" s="94" t="s">
        <v>186</v>
      </c>
      <c r="C33" s="69"/>
      <c r="D33" s="69" t="s">
        <v>662</v>
      </c>
      <c r="E33" s="69" t="s">
        <v>186</v>
      </c>
      <c r="F33" s="69" t="s">
        <v>186</v>
      </c>
      <c r="G33" s="69" t="s">
        <v>186</v>
      </c>
      <c r="H33" s="69"/>
      <c r="I33" s="69" t="s">
        <v>186</v>
      </c>
      <c r="J33" s="69"/>
      <c r="K33" s="69" t="s">
        <v>186</v>
      </c>
      <c r="L33" s="69" t="s">
        <v>186</v>
      </c>
      <c r="M33" s="69"/>
      <c r="N33" s="71" t="s">
        <v>300</v>
      </c>
      <c r="O33" s="69" t="s">
        <v>186</v>
      </c>
      <c r="P33" s="69" t="s">
        <v>186</v>
      </c>
      <c r="Q33" s="69"/>
      <c r="R33" s="71" t="s">
        <v>300</v>
      </c>
      <c r="S33" s="69" t="s">
        <v>186</v>
      </c>
      <c r="T33" s="69" t="s">
        <v>186</v>
      </c>
      <c r="U33" s="69"/>
      <c r="V33" s="71" t="s">
        <v>300</v>
      </c>
      <c r="W33" s="69" t="s">
        <v>186</v>
      </c>
      <c r="X33" s="69" t="s">
        <v>186</v>
      </c>
      <c r="Y33" s="69"/>
      <c r="Z33" s="71" t="s">
        <v>300</v>
      </c>
      <c r="AA33" s="69" t="s">
        <v>186</v>
      </c>
      <c r="AB33" s="69" t="s">
        <v>186</v>
      </c>
      <c r="AC33" s="69"/>
      <c r="AD33" s="72" t="s">
        <v>186</v>
      </c>
      <c r="AE33" s="69" t="s">
        <v>186</v>
      </c>
      <c r="AF33" s="69" t="s">
        <v>186</v>
      </c>
      <c r="AG33" s="69"/>
      <c r="AH33" s="71" t="s">
        <v>300</v>
      </c>
      <c r="AI33" s="69" t="s">
        <v>186</v>
      </c>
      <c r="AJ33" s="69" t="s">
        <v>186</v>
      </c>
      <c r="AK33" s="69"/>
      <c r="AL33" s="71" t="s">
        <v>300</v>
      </c>
      <c r="AM33" s="69" t="s">
        <v>186</v>
      </c>
      <c r="AN33" s="69" t="s">
        <v>186</v>
      </c>
      <c r="AO33" s="69"/>
      <c r="AP33" s="71" t="s">
        <v>300</v>
      </c>
      <c r="AQ33" s="69" t="s">
        <v>186</v>
      </c>
      <c r="AR33" s="69" t="s">
        <v>186</v>
      </c>
      <c r="AS33" s="69"/>
      <c r="AT33" s="71" t="s">
        <v>300</v>
      </c>
      <c r="AU33" s="69" t="s">
        <v>186</v>
      </c>
      <c r="AV33" s="69" t="s">
        <v>186</v>
      </c>
      <c r="AW33" s="69"/>
      <c r="AX33" s="72" t="s">
        <v>186</v>
      </c>
      <c r="AY33" s="69" t="s">
        <v>186</v>
      </c>
      <c r="AZ33" s="69" t="s">
        <v>186</v>
      </c>
      <c r="BA33" s="69"/>
      <c r="BB33" s="71" t="s">
        <v>300</v>
      </c>
      <c r="BC33" s="69" t="s">
        <v>186</v>
      </c>
      <c r="BD33" s="69" t="s">
        <v>186</v>
      </c>
      <c r="BE33" s="69"/>
      <c r="BF33" s="71" t="s">
        <v>300</v>
      </c>
      <c r="BG33" s="69" t="s">
        <v>186</v>
      </c>
      <c r="BH33" s="69" t="s">
        <v>186</v>
      </c>
      <c r="BI33" s="69"/>
      <c r="BJ33" s="71" t="s">
        <v>300</v>
      </c>
      <c r="BK33" s="69" t="s">
        <v>186</v>
      </c>
      <c r="BL33" s="69" t="s">
        <v>186</v>
      </c>
      <c r="BM33" s="69"/>
      <c r="BN33" s="71" t="s">
        <v>300</v>
      </c>
      <c r="BO33" s="69" t="s">
        <v>186</v>
      </c>
      <c r="BP33" s="69" t="s">
        <v>186</v>
      </c>
      <c r="BQ33" s="69"/>
      <c r="BR33" s="72" t="s">
        <v>186</v>
      </c>
      <c r="BS33" s="69" t="s">
        <v>186</v>
      </c>
      <c r="BT33" s="69" t="s">
        <v>186</v>
      </c>
      <c r="BU33" s="69"/>
      <c r="BV33" s="71" t="s">
        <v>300</v>
      </c>
      <c r="BW33" s="69" t="s">
        <v>186</v>
      </c>
      <c r="BX33" s="69" t="s">
        <v>186</v>
      </c>
      <c r="BY33" s="69"/>
      <c r="BZ33" s="71" t="s">
        <v>300</v>
      </c>
      <c r="CA33" s="69" t="s">
        <v>186</v>
      </c>
      <c r="CB33" s="69" t="s">
        <v>186</v>
      </c>
      <c r="CC33" s="69"/>
      <c r="CD33" s="71" t="s">
        <v>300</v>
      </c>
      <c r="CE33" s="69" t="s">
        <v>186</v>
      </c>
      <c r="CF33" s="69" t="s">
        <v>186</v>
      </c>
      <c r="CG33" s="69"/>
      <c r="CH33" s="71" t="s">
        <v>300</v>
      </c>
      <c r="CI33" s="69" t="s">
        <v>186</v>
      </c>
      <c r="CJ33" s="69" t="s">
        <v>186</v>
      </c>
      <c r="CK33" s="69"/>
      <c r="CL33" s="72" t="s">
        <v>186</v>
      </c>
      <c r="CM33" s="69" t="s">
        <v>186</v>
      </c>
      <c r="CN33" s="69" t="s">
        <v>186</v>
      </c>
      <c r="CO33" s="69"/>
      <c r="CP33" s="71" t="s">
        <v>300</v>
      </c>
      <c r="CQ33" s="69" t="s">
        <v>186</v>
      </c>
      <c r="CR33" s="69" t="s">
        <v>186</v>
      </c>
      <c r="CS33" s="69"/>
      <c r="CT33" s="71" t="s">
        <v>300</v>
      </c>
      <c r="CU33" s="69" t="s">
        <v>186</v>
      </c>
      <c r="CV33" s="69" t="s">
        <v>186</v>
      </c>
      <c r="CW33" s="69"/>
      <c r="CX33" s="71" t="s">
        <v>300</v>
      </c>
      <c r="CY33" s="69" t="s">
        <v>186</v>
      </c>
      <c r="CZ33" s="69" t="s">
        <v>186</v>
      </c>
      <c r="DA33" s="69"/>
      <c r="DB33" s="71" t="s">
        <v>300</v>
      </c>
      <c r="DC33" s="69" t="s">
        <v>186</v>
      </c>
      <c r="DD33" s="69" t="s">
        <v>186</v>
      </c>
      <c r="DE33" s="69"/>
      <c r="DF33" s="72" t="s">
        <v>186</v>
      </c>
      <c r="DG33" s="69" t="s">
        <v>186</v>
      </c>
      <c r="DH33" s="69" t="s">
        <v>186</v>
      </c>
      <c r="DI33" s="69"/>
      <c r="DJ33" s="71" t="s">
        <v>300</v>
      </c>
      <c r="DK33" s="69" t="s">
        <v>186</v>
      </c>
      <c r="DL33" s="69" t="s">
        <v>186</v>
      </c>
      <c r="DM33" s="69"/>
      <c r="DN33" s="71" t="s">
        <v>300</v>
      </c>
      <c r="DO33" s="69" t="s">
        <v>186</v>
      </c>
      <c r="DP33" s="69" t="s">
        <v>186</v>
      </c>
      <c r="DQ33" s="69"/>
      <c r="DR33" s="71" t="s">
        <v>300</v>
      </c>
      <c r="DS33" s="69" t="s">
        <v>186</v>
      </c>
      <c r="DT33" s="69" t="s">
        <v>186</v>
      </c>
      <c r="DU33" s="69"/>
      <c r="DV33" s="71" t="s">
        <v>300</v>
      </c>
      <c r="DW33" s="69" t="s">
        <v>186</v>
      </c>
      <c r="DX33" s="69" t="s">
        <v>186</v>
      </c>
      <c r="DY33" s="69"/>
      <c r="DZ33" s="72" t="s">
        <v>186</v>
      </c>
    </row>
    <row r="34" spans="1:130" ht="19.5" customHeight="1">
      <c r="A34" s="69">
        <v>19</v>
      </c>
      <c r="B34" s="94" t="s">
        <v>186</v>
      </c>
      <c r="C34" s="69"/>
      <c r="D34" s="69" t="s">
        <v>662</v>
      </c>
      <c r="E34" s="69" t="s">
        <v>186</v>
      </c>
      <c r="F34" s="69" t="s">
        <v>186</v>
      </c>
      <c r="G34" s="69" t="s">
        <v>186</v>
      </c>
      <c r="H34" s="69"/>
      <c r="I34" s="69" t="s">
        <v>186</v>
      </c>
      <c r="J34" s="69"/>
      <c r="K34" s="69" t="s">
        <v>186</v>
      </c>
      <c r="L34" s="69" t="s">
        <v>186</v>
      </c>
      <c r="M34" s="69"/>
      <c r="N34" s="71" t="s">
        <v>300</v>
      </c>
      <c r="O34" s="69" t="s">
        <v>186</v>
      </c>
      <c r="P34" s="69" t="s">
        <v>186</v>
      </c>
      <c r="Q34" s="69"/>
      <c r="R34" s="71" t="s">
        <v>300</v>
      </c>
      <c r="S34" s="69" t="s">
        <v>186</v>
      </c>
      <c r="T34" s="69" t="s">
        <v>186</v>
      </c>
      <c r="U34" s="69"/>
      <c r="V34" s="71" t="s">
        <v>300</v>
      </c>
      <c r="W34" s="69" t="s">
        <v>186</v>
      </c>
      <c r="X34" s="69" t="s">
        <v>186</v>
      </c>
      <c r="Y34" s="69"/>
      <c r="Z34" s="71" t="s">
        <v>300</v>
      </c>
      <c r="AA34" s="69" t="s">
        <v>186</v>
      </c>
      <c r="AB34" s="69" t="s">
        <v>186</v>
      </c>
      <c r="AC34" s="69"/>
      <c r="AD34" s="72" t="s">
        <v>186</v>
      </c>
      <c r="AE34" s="69" t="s">
        <v>186</v>
      </c>
      <c r="AF34" s="69" t="s">
        <v>186</v>
      </c>
      <c r="AG34" s="69"/>
      <c r="AH34" s="71" t="s">
        <v>300</v>
      </c>
      <c r="AI34" s="69" t="s">
        <v>186</v>
      </c>
      <c r="AJ34" s="69" t="s">
        <v>186</v>
      </c>
      <c r="AK34" s="69"/>
      <c r="AL34" s="71" t="s">
        <v>300</v>
      </c>
      <c r="AM34" s="69" t="s">
        <v>186</v>
      </c>
      <c r="AN34" s="69" t="s">
        <v>186</v>
      </c>
      <c r="AO34" s="69"/>
      <c r="AP34" s="71" t="s">
        <v>300</v>
      </c>
      <c r="AQ34" s="69" t="s">
        <v>186</v>
      </c>
      <c r="AR34" s="69" t="s">
        <v>186</v>
      </c>
      <c r="AS34" s="69"/>
      <c r="AT34" s="71" t="s">
        <v>300</v>
      </c>
      <c r="AU34" s="69" t="s">
        <v>186</v>
      </c>
      <c r="AV34" s="69" t="s">
        <v>186</v>
      </c>
      <c r="AW34" s="69"/>
      <c r="AX34" s="72" t="s">
        <v>186</v>
      </c>
      <c r="AY34" s="69" t="s">
        <v>186</v>
      </c>
      <c r="AZ34" s="69" t="s">
        <v>186</v>
      </c>
      <c r="BA34" s="69"/>
      <c r="BB34" s="71" t="s">
        <v>300</v>
      </c>
      <c r="BC34" s="69" t="s">
        <v>186</v>
      </c>
      <c r="BD34" s="69" t="s">
        <v>186</v>
      </c>
      <c r="BE34" s="69"/>
      <c r="BF34" s="71" t="s">
        <v>300</v>
      </c>
      <c r="BG34" s="69" t="s">
        <v>186</v>
      </c>
      <c r="BH34" s="69" t="s">
        <v>186</v>
      </c>
      <c r="BI34" s="69"/>
      <c r="BJ34" s="71" t="s">
        <v>300</v>
      </c>
      <c r="BK34" s="69" t="s">
        <v>186</v>
      </c>
      <c r="BL34" s="69" t="s">
        <v>186</v>
      </c>
      <c r="BM34" s="69"/>
      <c r="BN34" s="71" t="s">
        <v>300</v>
      </c>
      <c r="BO34" s="69" t="s">
        <v>186</v>
      </c>
      <c r="BP34" s="69" t="s">
        <v>186</v>
      </c>
      <c r="BQ34" s="69"/>
      <c r="BR34" s="72" t="s">
        <v>186</v>
      </c>
      <c r="BS34" s="69" t="s">
        <v>186</v>
      </c>
      <c r="BT34" s="69" t="s">
        <v>186</v>
      </c>
      <c r="BU34" s="69"/>
      <c r="BV34" s="71" t="s">
        <v>300</v>
      </c>
      <c r="BW34" s="69" t="s">
        <v>186</v>
      </c>
      <c r="BX34" s="69" t="s">
        <v>186</v>
      </c>
      <c r="BY34" s="69"/>
      <c r="BZ34" s="71" t="s">
        <v>300</v>
      </c>
      <c r="CA34" s="69" t="s">
        <v>186</v>
      </c>
      <c r="CB34" s="69" t="s">
        <v>186</v>
      </c>
      <c r="CC34" s="69"/>
      <c r="CD34" s="71" t="s">
        <v>300</v>
      </c>
      <c r="CE34" s="69" t="s">
        <v>186</v>
      </c>
      <c r="CF34" s="69" t="s">
        <v>186</v>
      </c>
      <c r="CG34" s="69"/>
      <c r="CH34" s="71" t="s">
        <v>300</v>
      </c>
      <c r="CI34" s="69" t="s">
        <v>186</v>
      </c>
      <c r="CJ34" s="69" t="s">
        <v>186</v>
      </c>
      <c r="CK34" s="69"/>
      <c r="CL34" s="72" t="s">
        <v>186</v>
      </c>
      <c r="CM34" s="69" t="s">
        <v>186</v>
      </c>
      <c r="CN34" s="69" t="s">
        <v>186</v>
      </c>
      <c r="CO34" s="69"/>
      <c r="CP34" s="71" t="s">
        <v>300</v>
      </c>
      <c r="CQ34" s="69" t="s">
        <v>186</v>
      </c>
      <c r="CR34" s="69" t="s">
        <v>186</v>
      </c>
      <c r="CS34" s="69"/>
      <c r="CT34" s="71" t="s">
        <v>300</v>
      </c>
      <c r="CU34" s="69" t="s">
        <v>186</v>
      </c>
      <c r="CV34" s="69" t="s">
        <v>186</v>
      </c>
      <c r="CW34" s="69"/>
      <c r="CX34" s="71" t="s">
        <v>300</v>
      </c>
      <c r="CY34" s="69" t="s">
        <v>186</v>
      </c>
      <c r="CZ34" s="69" t="s">
        <v>186</v>
      </c>
      <c r="DA34" s="69"/>
      <c r="DB34" s="71" t="s">
        <v>300</v>
      </c>
      <c r="DC34" s="69" t="s">
        <v>186</v>
      </c>
      <c r="DD34" s="69" t="s">
        <v>186</v>
      </c>
      <c r="DE34" s="69"/>
      <c r="DF34" s="72" t="s">
        <v>186</v>
      </c>
      <c r="DG34" s="69" t="s">
        <v>186</v>
      </c>
      <c r="DH34" s="69" t="s">
        <v>186</v>
      </c>
      <c r="DI34" s="69"/>
      <c r="DJ34" s="71" t="s">
        <v>300</v>
      </c>
      <c r="DK34" s="69" t="s">
        <v>186</v>
      </c>
      <c r="DL34" s="69" t="s">
        <v>186</v>
      </c>
      <c r="DM34" s="69"/>
      <c r="DN34" s="71" t="s">
        <v>300</v>
      </c>
      <c r="DO34" s="69" t="s">
        <v>186</v>
      </c>
      <c r="DP34" s="69" t="s">
        <v>186</v>
      </c>
      <c r="DQ34" s="69"/>
      <c r="DR34" s="71" t="s">
        <v>300</v>
      </c>
      <c r="DS34" s="69" t="s">
        <v>186</v>
      </c>
      <c r="DT34" s="69" t="s">
        <v>186</v>
      </c>
      <c r="DU34" s="69"/>
      <c r="DV34" s="71" t="s">
        <v>300</v>
      </c>
      <c r="DW34" s="69" t="s">
        <v>186</v>
      </c>
      <c r="DX34" s="69" t="s">
        <v>186</v>
      </c>
      <c r="DY34" s="69"/>
      <c r="DZ34" s="72" t="s">
        <v>186</v>
      </c>
    </row>
    <row r="35" spans="1:130" ht="19.5" customHeight="1">
      <c r="A35" s="69">
        <v>20</v>
      </c>
      <c r="B35" s="94" t="s">
        <v>186</v>
      </c>
      <c r="C35" s="69"/>
      <c r="D35" s="69" t="s">
        <v>662</v>
      </c>
      <c r="E35" s="69" t="s">
        <v>186</v>
      </c>
      <c r="F35" s="69" t="s">
        <v>186</v>
      </c>
      <c r="G35" s="69" t="s">
        <v>186</v>
      </c>
      <c r="H35" s="69"/>
      <c r="I35" s="69" t="s">
        <v>186</v>
      </c>
      <c r="J35" s="69"/>
      <c r="K35" s="69" t="s">
        <v>186</v>
      </c>
      <c r="L35" s="69" t="s">
        <v>186</v>
      </c>
      <c r="M35" s="69"/>
      <c r="N35" s="71" t="s">
        <v>300</v>
      </c>
      <c r="O35" s="69" t="s">
        <v>186</v>
      </c>
      <c r="P35" s="69" t="s">
        <v>186</v>
      </c>
      <c r="Q35" s="69"/>
      <c r="R35" s="71" t="s">
        <v>300</v>
      </c>
      <c r="S35" s="69" t="s">
        <v>186</v>
      </c>
      <c r="T35" s="69" t="s">
        <v>186</v>
      </c>
      <c r="U35" s="69"/>
      <c r="V35" s="71" t="s">
        <v>300</v>
      </c>
      <c r="W35" s="69" t="s">
        <v>186</v>
      </c>
      <c r="X35" s="69" t="s">
        <v>186</v>
      </c>
      <c r="Y35" s="69"/>
      <c r="Z35" s="71" t="s">
        <v>300</v>
      </c>
      <c r="AA35" s="69" t="s">
        <v>186</v>
      </c>
      <c r="AB35" s="69" t="s">
        <v>186</v>
      </c>
      <c r="AC35" s="69"/>
      <c r="AD35" s="72" t="s">
        <v>186</v>
      </c>
      <c r="AE35" s="69" t="s">
        <v>186</v>
      </c>
      <c r="AF35" s="69" t="s">
        <v>186</v>
      </c>
      <c r="AG35" s="69"/>
      <c r="AH35" s="71" t="s">
        <v>300</v>
      </c>
      <c r="AI35" s="69" t="s">
        <v>186</v>
      </c>
      <c r="AJ35" s="69" t="s">
        <v>186</v>
      </c>
      <c r="AK35" s="69"/>
      <c r="AL35" s="71" t="s">
        <v>300</v>
      </c>
      <c r="AM35" s="69" t="s">
        <v>186</v>
      </c>
      <c r="AN35" s="69" t="s">
        <v>186</v>
      </c>
      <c r="AO35" s="69"/>
      <c r="AP35" s="71" t="s">
        <v>300</v>
      </c>
      <c r="AQ35" s="69" t="s">
        <v>186</v>
      </c>
      <c r="AR35" s="69" t="s">
        <v>186</v>
      </c>
      <c r="AS35" s="69"/>
      <c r="AT35" s="71" t="s">
        <v>300</v>
      </c>
      <c r="AU35" s="69" t="s">
        <v>186</v>
      </c>
      <c r="AV35" s="69" t="s">
        <v>186</v>
      </c>
      <c r="AW35" s="69"/>
      <c r="AX35" s="72" t="s">
        <v>186</v>
      </c>
      <c r="AY35" s="69" t="s">
        <v>186</v>
      </c>
      <c r="AZ35" s="69" t="s">
        <v>186</v>
      </c>
      <c r="BA35" s="69"/>
      <c r="BB35" s="71" t="s">
        <v>300</v>
      </c>
      <c r="BC35" s="69" t="s">
        <v>186</v>
      </c>
      <c r="BD35" s="69" t="s">
        <v>186</v>
      </c>
      <c r="BE35" s="69"/>
      <c r="BF35" s="71" t="s">
        <v>300</v>
      </c>
      <c r="BG35" s="69" t="s">
        <v>186</v>
      </c>
      <c r="BH35" s="69" t="s">
        <v>186</v>
      </c>
      <c r="BI35" s="69"/>
      <c r="BJ35" s="71" t="s">
        <v>300</v>
      </c>
      <c r="BK35" s="69" t="s">
        <v>186</v>
      </c>
      <c r="BL35" s="69" t="s">
        <v>186</v>
      </c>
      <c r="BM35" s="69"/>
      <c r="BN35" s="71" t="s">
        <v>300</v>
      </c>
      <c r="BO35" s="69" t="s">
        <v>186</v>
      </c>
      <c r="BP35" s="69" t="s">
        <v>186</v>
      </c>
      <c r="BQ35" s="69"/>
      <c r="BR35" s="72" t="s">
        <v>186</v>
      </c>
      <c r="BS35" s="69" t="s">
        <v>186</v>
      </c>
      <c r="BT35" s="69" t="s">
        <v>186</v>
      </c>
      <c r="BU35" s="69"/>
      <c r="BV35" s="71" t="s">
        <v>300</v>
      </c>
      <c r="BW35" s="69" t="s">
        <v>186</v>
      </c>
      <c r="BX35" s="69" t="s">
        <v>186</v>
      </c>
      <c r="BY35" s="69"/>
      <c r="BZ35" s="71" t="s">
        <v>300</v>
      </c>
      <c r="CA35" s="69" t="s">
        <v>186</v>
      </c>
      <c r="CB35" s="69" t="s">
        <v>186</v>
      </c>
      <c r="CC35" s="69"/>
      <c r="CD35" s="71" t="s">
        <v>300</v>
      </c>
      <c r="CE35" s="69" t="s">
        <v>186</v>
      </c>
      <c r="CF35" s="69" t="s">
        <v>186</v>
      </c>
      <c r="CG35" s="69"/>
      <c r="CH35" s="71" t="s">
        <v>300</v>
      </c>
      <c r="CI35" s="69" t="s">
        <v>186</v>
      </c>
      <c r="CJ35" s="69" t="s">
        <v>186</v>
      </c>
      <c r="CK35" s="69"/>
      <c r="CL35" s="72" t="s">
        <v>186</v>
      </c>
      <c r="CM35" s="69" t="s">
        <v>186</v>
      </c>
      <c r="CN35" s="69" t="s">
        <v>186</v>
      </c>
      <c r="CO35" s="69"/>
      <c r="CP35" s="71" t="s">
        <v>300</v>
      </c>
      <c r="CQ35" s="69" t="s">
        <v>186</v>
      </c>
      <c r="CR35" s="69" t="s">
        <v>186</v>
      </c>
      <c r="CS35" s="69"/>
      <c r="CT35" s="71" t="s">
        <v>300</v>
      </c>
      <c r="CU35" s="69" t="s">
        <v>186</v>
      </c>
      <c r="CV35" s="69" t="s">
        <v>186</v>
      </c>
      <c r="CW35" s="69"/>
      <c r="CX35" s="71" t="s">
        <v>300</v>
      </c>
      <c r="CY35" s="69" t="s">
        <v>186</v>
      </c>
      <c r="CZ35" s="69" t="s">
        <v>186</v>
      </c>
      <c r="DA35" s="69"/>
      <c r="DB35" s="71" t="s">
        <v>300</v>
      </c>
      <c r="DC35" s="69" t="s">
        <v>186</v>
      </c>
      <c r="DD35" s="69" t="s">
        <v>186</v>
      </c>
      <c r="DE35" s="69"/>
      <c r="DF35" s="72" t="s">
        <v>186</v>
      </c>
      <c r="DG35" s="69" t="s">
        <v>186</v>
      </c>
      <c r="DH35" s="69" t="s">
        <v>186</v>
      </c>
      <c r="DI35" s="69"/>
      <c r="DJ35" s="71" t="s">
        <v>300</v>
      </c>
      <c r="DK35" s="69" t="s">
        <v>186</v>
      </c>
      <c r="DL35" s="69" t="s">
        <v>186</v>
      </c>
      <c r="DM35" s="69"/>
      <c r="DN35" s="71" t="s">
        <v>300</v>
      </c>
      <c r="DO35" s="69" t="s">
        <v>186</v>
      </c>
      <c r="DP35" s="69" t="s">
        <v>186</v>
      </c>
      <c r="DQ35" s="69"/>
      <c r="DR35" s="71" t="s">
        <v>300</v>
      </c>
      <c r="DS35" s="69" t="s">
        <v>186</v>
      </c>
      <c r="DT35" s="69" t="s">
        <v>186</v>
      </c>
      <c r="DU35" s="69"/>
      <c r="DV35" s="71" t="s">
        <v>300</v>
      </c>
      <c r="DW35" s="69" t="s">
        <v>186</v>
      </c>
      <c r="DX35" s="69" t="s">
        <v>186</v>
      </c>
      <c r="DY35" s="69"/>
      <c r="DZ35" s="72" t="s">
        <v>186</v>
      </c>
    </row>
  </sheetData>
  <dataConsolidate link="1"/>
  <mergeCells count="1">
    <mergeCell ref="C6:J6"/>
  </mergeCells>
  <phoneticPr fontId="20"/>
  <conditionalFormatting sqref="D8:H35 BS8:DZ35">
    <cfRule type="expression" dxfId="43" priority="7">
      <formula>$B8="Yahoo!"</formula>
    </cfRule>
  </conditionalFormatting>
  <conditionalFormatting sqref="G8:H35 BS8:DZ35">
    <cfRule type="expression" dxfId="42" priority="5">
      <formula>$E8="ページを訪問したユーザー"</formula>
    </cfRule>
  </conditionalFormatting>
  <conditionalFormatting sqref="F8:F35 G8:H35">
    <cfRule type="expression" dxfId="41" priority="3">
      <formula>$E8="ページを訪問したユーザー（別のページは訪問していないユーザー）"</formula>
    </cfRule>
    <cfRule type="expression" dxfId="40" priority="4">
      <formula>$E8="ページを訪問したユーザーのうち別のページも訪問したユーザー"</formula>
    </cfRule>
  </conditionalFormatting>
  <conditionalFormatting sqref="F8:F35 BS8:DZ35">
    <cfRule type="expression" dxfId="39" priority="2">
      <formula>$E8="特定の期間内にページを訪問したユーザー"</formula>
    </cfRule>
  </conditionalFormatting>
  <conditionalFormatting sqref="F8:F35 G8:H35 K8:L35 O8:P35 S8:T35 W8:X35 AA8:AB35 AE8:AF35 AI8:AJ35 AM8:AN35 AQ8:AR35 AU8:AV35 AY8:AZ35 BC8:BD35 BG8:BH35 BK8:BL35 BO8:BP35 BS8:DZ35">
    <cfRule type="expression" dxfId="38" priority="1">
      <formula>$E8="特定のタグがあるページを訪問したユーザー"</formula>
    </cfRule>
    <cfRule type="expression" dxfId="37" priority="6">
      <formula>$D8="YouTube ユーザー"</formula>
    </cfRule>
  </conditionalFormatting>
  <dataValidations count="9">
    <dataValidation type="list" allowBlank="1" showInputMessage="1" sqref="B8:B14 B16:B35" xr:uid="{00000000-0002-0000-1000-000000000000}">
      <formula1>媒体</formula1>
    </dataValidation>
    <dataValidation type="list" allowBlank="1" showInputMessage="1" sqref="O16:O35 K8:K14 O8:O14 S8:S14 S16:S35 W8:W14 W16:W35 AA8:AA14 AA16:AA35 AE8:AE14 AE16:AE35 AY8:AY14 AY16:AY35 AI8:AI14 AI16:AI35 AM8:AM14 AM16:AM35 AQ8:AQ14 AQ16:AQ35 AU8:AU14 AU16:AU35 BC8:BC14 BC16:BC35 BG8:BG14 BG16:BG35 BK8:BK14 BK16:BK35 BO8:BO14 BO16:BO35 K16:K35 BS16:BS35 DW16:DW35 BW16:BW35 CA16:CA35 CE16:CE35 CI16:CI35 CM16:CM35 DG16:DG35 CQ16:CQ35 CU16:CU35 CY16:CY35 DC16:DC35 DK16:DK35 DO16:DO35 DS16:DS35 CQ8:CQ14 DW8:DW14 DG8:DG14 DC8:DC14 CM8:CM14 DO8:DO14 CI8:CI14 CY8:CY14 CE8:CE14 DS8:DS14 CA8:CA14 BW8:BW14 BS8:BS14 CU8:CU14 DK8:DK14" xr:uid="{00000000-0002-0000-1000-000001000000}">
      <formula1>IF(OR($D8="YouTube ユーザー",$E8="特定のタグがあるページを訪問したユーザー"),選択肢なし,URL)</formula1>
    </dataValidation>
    <dataValidation type="list" allowBlank="1" showInputMessage="1" sqref="P16:P35 L8:L14 P8:P14 T8:T14 T16:T35 X8:X14 X16:X35 AB8:AB14 AB16:AB35 AF8:AF14 AF16:AF35 AZ8:AZ14 AZ16:AZ35 AJ8:AJ14 AJ16:AJ35 AN8:AN14 AN16:AN35 AR8:AR14 AR16:AR35 AV8:AV14 AV16:AV35 BD8:BD14 BD16:BD35 BH8:BH14 BH16:BH35 BL8:BL14 BL16:BL35 BP8:BP14 BP16:BP35 L16:L35 BT16:BT35 DX16:DX35 BX16:BX35 CB16:CB35 CF16:CF35 CJ16:CJ35 CN16:CN35 DH16:DH35 CR16:CR35 CV16:CV35 CZ16:CZ35 DD16:DD35 DL16:DL35 DP16:DP35 DT16:DT35 CR8:CR14 DX8:DX14 DH8:DH14 DD8:DD14 CN8:CN14 DP8:DP14 CJ8:CJ14 CZ8:CZ14 CF8:CF14 DT8:DT14 CB8:CB14 BX8:BX14 BT8:BT14 CV8:CV14 DL8:DL14" xr:uid="{00000000-0002-0000-1000-000002000000}">
      <formula1>IF(OR($D8="YouTube ユーザー",$E8="特定のタグがあるページを訪問したユーザー"),選択肢なし,条件)</formula1>
    </dataValidation>
    <dataValidation type="list" allowBlank="1" showInputMessage="1" sqref="AD8:AD14 AD16:AD35 AX8:AX14 AX16:AX35 BR8:BR14 BR16:BR35 DZ16:DZ35 CL16:CL35 DF16:DF35 DF8:DF14 DZ8:DZ14 CL8:CL14" xr:uid="{00000000-0002-0000-1000-000004000000}">
      <formula1>ORかAND</formula1>
    </dataValidation>
    <dataValidation type="list" allowBlank="1" showInputMessage="1" sqref="F16:F35 F8:F14" xr:uid="{00000000-0002-0000-1000-000005000000}">
      <formula1>IF(AND($D8="ウェブサイトを訪れたユーザー",$E8="ページを訪問したユーザー"),ルールグループ,選択肢なし)</formula1>
    </dataValidation>
    <dataValidation type="list" allowBlank="1" showInputMessage="1" sqref="G16:G35 G8:G14" xr:uid="{00000000-0002-0000-1000-000006000000}">
      <formula1>IF(AND($B8="Google",$E8="特定の期間内にページを訪問したユーザー"),訪問日条件,選択肢なし)</formula1>
    </dataValidation>
    <dataValidation type="list" allowBlank="1" showInputMessage="1" showErrorMessage="1" sqref="D8:D14 D16:D35" xr:uid="{00000000-0002-0000-1000-000008000000}">
      <formula1>IF($B8="Google",ユーザーリスト_タイプ,選択肢なし)</formula1>
    </dataValidation>
    <dataValidation type="list" allowBlank="1" showInputMessage="1" sqref="E8:E14 E16:E35" xr:uid="{00000000-0002-0000-1000-000009000000}">
      <formula1>IF($D8="ウェブサイトを訪れたユーザー",リストに追加するユーザー※URL,IF($D8="YouTube ユーザー",リストに追加するユーザー※動画,選択肢なし))</formula1>
    </dataValidation>
    <dataValidation type="list" allowBlank="1" showInputMessage="1" showErrorMessage="1" sqref="I16:I35 I8:I14" xr:uid="{3D47BD37-7FF0-4759-BED2-87C8C1806673}">
      <formula1>IF($B8="Yahoo!",訪問履歴の蓄積,IF($B8="Google",オーディエンスの初期サイズ,選択肢なし))</formula1>
    </dataValidation>
  </dataValidations>
  <pageMargins left="0.39370078740157483" right="0.39370078740157483" top="0.39370078740157483" bottom="0.39370078740157483" header="0.19685039370078741" footer="0.19685039370078741"/>
  <pageSetup paperSize="8" scale="23" fitToHeight="2"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5" tint="0.79998168889431442"/>
    <outlinePr summaryRight="0"/>
    <pageSetUpPr fitToPage="1"/>
  </sheetPr>
  <dimension ref="A1:R33"/>
  <sheetViews>
    <sheetView showGridLines="0" view="pageBreakPreview" zoomScale="85" zoomScaleNormal="55" zoomScaleSheetLayoutView="85" workbookViewId="0">
      <pane ySplit="5" topLeftCell="A6" activePane="bottomLeft" state="frozen"/>
      <selection pane="bottomLeft"/>
    </sheetView>
  </sheetViews>
  <sheetFormatPr defaultColWidth="8.88671875" defaultRowHeight="19.5" customHeight="1" outlineLevelCol="1"/>
  <cols>
    <col min="1" max="1" width="9.33203125" style="59" customWidth="1"/>
    <col min="2" max="2" width="14" style="59" customWidth="1"/>
    <col min="3" max="3" width="31.5546875" style="59" customWidth="1"/>
    <col min="4" max="4" width="20.77734375" style="59" customWidth="1"/>
    <col min="5" max="5" width="31.44140625" style="59" customWidth="1"/>
    <col min="6" max="6" width="7.88671875" style="59" customWidth="1"/>
    <col min="7" max="7" width="20.77734375" style="59" customWidth="1" outlineLevel="1"/>
    <col min="8" max="8" width="31.44140625" style="59" customWidth="1" outlineLevel="1"/>
    <col min="9" max="9" width="7.88671875" style="59" customWidth="1"/>
    <col min="10" max="10" width="20.77734375" style="59" customWidth="1" outlineLevel="1"/>
    <col min="11" max="11" width="31.44140625" style="59" customWidth="1" outlineLevel="1"/>
    <col min="12" max="12" width="7.88671875" style="59" customWidth="1" collapsed="1"/>
    <col min="13" max="13" width="20.77734375" style="59" hidden="1" customWidth="1" outlineLevel="1"/>
    <col min="14" max="14" width="31.44140625" style="59" hidden="1" customWidth="1" outlineLevel="1"/>
    <col min="15" max="15" width="7.88671875" style="59" customWidth="1" collapsed="1"/>
    <col min="16" max="16" width="20.77734375" style="59" hidden="1" customWidth="1" outlineLevel="1"/>
    <col min="17" max="17" width="31.44140625" style="59" hidden="1" customWidth="1" outlineLevel="1"/>
    <col min="18" max="18" width="9.44140625" style="59" customWidth="1"/>
    <col min="19" max="16384" width="8.88671875" style="59"/>
  </cols>
  <sheetData>
    <row r="1" spans="1:18" ht="19.5" customHeight="1">
      <c r="A1" s="114" t="str">
        <f>"Ver."&amp;変更履歴!$B$1</f>
        <v>Ver.10.1</v>
      </c>
    </row>
    <row r="2" spans="1:18" ht="19.5" customHeight="1">
      <c r="A2" s="58" t="s">
        <v>307</v>
      </c>
    </row>
    <row r="3" spans="1:18" ht="19.5" customHeight="1">
      <c r="A3" s="76" t="s">
        <v>335</v>
      </c>
    </row>
    <row r="4" spans="1:18" ht="20.100000000000001" customHeight="1">
      <c r="A4" s="60"/>
      <c r="B4" s="60"/>
      <c r="C4" s="127" t="s">
        <v>293</v>
      </c>
      <c r="D4" s="61"/>
      <c r="E4" s="62"/>
      <c r="F4" s="64"/>
      <c r="G4" s="62"/>
      <c r="H4" s="65"/>
      <c r="I4" s="62"/>
      <c r="J4" s="62"/>
      <c r="K4" s="62"/>
      <c r="L4" s="64"/>
      <c r="M4" s="62"/>
      <c r="N4" s="65"/>
      <c r="O4" s="64"/>
      <c r="P4" s="62"/>
      <c r="Q4" s="63"/>
      <c r="R4" s="73"/>
    </row>
    <row r="5" spans="1:18" ht="30" customHeight="1">
      <c r="A5" s="67" t="s">
        <v>308</v>
      </c>
      <c r="B5" s="67" t="s">
        <v>290</v>
      </c>
      <c r="C5" s="68" t="s">
        <v>332</v>
      </c>
      <c r="D5" s="180" t="s">
        <v>713</v>
      </c>
      <c r="E5" s="180" t="s">
        <v>714</v>
      </c>
      <c r="F5" s="181" t="s">
        <v>715</v>
      </c>
      <c r="G5" s="180" t="s">
        <v>716</v>
      </c>
      <c r="H5" s="180" t="s">
        <v>717</v>
      </c>
      <c r="I5" s="181" t="s">
        <v>718</v>
      </c>
      <c r="J5" s="180" t="s">
        <v>719</v>
      </c>
      <c r="K5" s="180" t="s">
        <v>720</v>
      </c>
      <c r="L5" s="181" t="s">
        <v>721</v>
      </c>
      <c r="M5" s="180" t="s">
        <v>722</v>
      </c>
      <c r="N5" s="180" t="s">
        <v>723</v>
      </c>
      <c r="O5" s="181" t="s">
        <v>1322</v>
      </c>
      <c r="P5" s="180" t="s">
        <v>724</v>
      </c>
      <c r="Q5" s="180" t="s">
        <v>725</v>
      </c>
    </row>
    <row r="6" spans="1:18" ht="19.5" customHeight="1">
      <c r="A6" s="69">
        <v>1</v>
      </c>
      <c r="B6" s="94" t="s">
        <v>19</v>
      </c>
      <c r="C6" s="70" t="s">
        <v>321</v>
      </c>
      <c r="D6" s="69" t="s">
        <v>311</v>
      </c>
      <c r="E6" s="69" t="s">
        <v>312</v>
      </c>
      <c r="F6" s="72" t="s">
        <v>674</v>
      </c>
      <c r="G6" s="69" t="s">
        <v>311</v>
      </c>
      <c r="H6" s="69" t="s">
        <v>291</v>
      </c>
      <c r="I6" s="72" t="s">
        <v>673</v>
      </c>
      <c r="J6" s="69" t="s">
        <v>673</v>
      </c>
      <c r="K6" s="69"/>
      <c r="L6" s="72" t="s">
        <v>673</v>
      </c>
      <c r="M6" s="69" t="s">
        <v>673</v>
      </c>
      <c r="N6" s="69"/>
      <c r="O6" s="72" t="s">
        <v>673</v>
      </c>
      <c r="P6" s="69" t="s">
        <v>673</v>
      </c>
      <c r="Q6" s="69"/>
    </row>
    <row r="7" spans="1:18" ht="19.5" customHeight="1">
      <c r="A7" s="69">
        <v>2</v>
      </c>
      <c r="B7" s="94" t="s">
        <v>19</v>
      </c>
      <c r="C7" s="70" t="s">
        <v>310</v>
      </c>
      <c r="D7" s="69" t="s">
        <v>311</v>
      </c>
      <c r="E7" s="69" t="s">
        <v>313</v>
      </c>
      <c r="F7" s="72" t="s">
        <v>314</v>
      </c>
      <c r="G7" s="69" t="s">
        <v>311</v>
      </c>
      <c r="H7" s="69" t="s">
        <v>291</v>
      </c>
      <c r="I7" s="72" t="s">
        <v>673</v>
      </c>
      <c r="J7" s="69" t="s">
        <v>673</v>
      </c>
      <c r="K7" s="69"/>
      <c r="L7" s="72" t="s">
        <v>673</v>
      </c>
      <c r="M7" s="69" t="s">
        <v>673</v>
      </c>
      <c r="N7" s="69"/>
      <c r="O7" s="72" t="s">
        <v>673</v>
      </c>
      <c r="P7" s="69" t="s">
        <v>673</v>
      </c>
      <c r="Q7" s="69"/>
    </row>
    <row r="8" spans="1:18" ht="19.5" customHeight="1">
      <c r="A8" s="69">
        <v>3</v>
      </c>
      <c r="B8" s="94" t="s">
        <v>512</v>
      </c>
      <c r="C8" s="70" t="s">
        <v>321</v>
      </c>
      <c r="D8" s="69" t="s">
        <v>311</v>
      </c>
      <c r="E8" s="69" t="s">
        <v>312</v>
      </c>
      <c r="F8" s="72" t="s">
        <v>314</v>
      </c>
      <c r="G8" s="69" t="s">
        <v>311</v>
      </c>
      <c r="H8" s="69" t="s">
        <v>291</v>
      </c>
      <c r="I8" s="72" t="s">
        <v>673</v>
      </c>
      <c r="J8" s="69" t="s">
        <v>673</v>
      </c>
      <c r="K8" s="69"/>
      <c r="L8" s="72" t="s">
        <v>673</v>
      </c>
      <c r="M8" s="69" t="s">
        <v>673</v>
      </c>
      <c r="N8" s="69"/>
      <c r="O8" s="72" t="s">
        <v>673</v>
      </c>
      <c r="P8" s="69" t="s">
        <v>673</v>
      </c>
      <c r="Q8" s="69"/>
    </row>
    <row r="9" spans="1:18" ht="19.5" customHeight="1">
      <c r="A9" s="69">
        <v>4</v>
      </c>
      <c r="B9" s="94" t="s">
        <v>512</v>
      </c>
      <c r="C9" s="70" t="s">
        <v>310</v>
      </c>
      <c r="D9" s="69" t="s">
        <v>311</v>
      </c>
      <c r="E9" s="69" t="s">
        <v>313</v>
      </c>
      <c r="F9" s="72" t="s">
        <v>314</v>
      </c>
      <c r="G9" s="69" t="s">
        <v>311</v>
      </c>
      <c r="H9" s="69" t="s">
        <v>291</v>
      </c>
      <c r="I9" s="72" t="s">
        <v>673</v>
      </c>
      <c r="J9" s="69" t="s">
        <v>673</v>
      </c>
      <c r="K9" s="69"/>
      <c r="L9" s="72" t="s">
        <v>673</v>
      </c>
      <c r="M9" s="69" t="s">
        <v>673</v>
      </c>
      <c r="N9" s="69"/>
      <c r="O9" s="72" t="s">
        <v>673</v>
      </c>
      <c r="P9" s="69" t="s">
        <v>673</v>
      </c>
      <c r="Q9" s="69"/>
    </row>
    <row r="10" spans="1:18" ht="19.5" customHeight="1">
      <c r="A10" s="69">
        <v>5</v>
      </c>
      <c r="B10" s="94" t="s">
        <v>186</v>
      </c>
      <c r="C10" s="70"/>
      <c r="D10" s="69" t="s">
        <v>186</v>
      </c>
      <c r="E10" s="69"/>
      <c r="F10" s="72" t="s">
        <v>673</v>
      </c>
      <c r="G10" s="69" t="s">
        <v>186</v>
      </c>
      <c r="H10" s="69"/>
      <c r="I10" s="72" t="s">
        <v>673</v>
      </c>
      <c r="J10" s="69" t="s">
        <v>673</v>
      </c>
      <c r="K10" s="69"/>
      <c r="L10" s="72" t="s">
        <v>673</v>
      </c>
      <c r="M10" s="69" t="s">
        <v>673</v>
      </c>
      <c r="N10" s="69"/>
      <c r="O10" s="72" t="s">
        <v>673</v>
      </c>
      <c r="P10" s="69" t="s">
        <v>673</v>
      </c>
      <c r="Q10" s="69"/>
    </row>
    <row r="11" spans="1:18" ht="19.5" customHeight="1">
      <c r="A11" s="69">
        <v>5</v>
      </c>
      <c r="B11" s="94" t="s">
        <v>186</v>
      </c>
      <c r="C11" s="70"/>
      <c r="D11" s="69" t="s">
        <v>186</v>
      </c>
      <c r="E11" s="69"/>
      <c r="F11" s="72" t="s">
        <v>673</v>
      </c>
      <c r="G11" s="69" t="s">
        <v>186</v>
      </c>
      <c r="H11" s="69"/>
      <c r="I11" s="72" t="s">
        <v>673</v>
      </c>
      <c r="J11" s="69" t="s">
        <v>673</v>
      </c>
      <c r="K11" s="69"/>
      <c r="L11" s="72" t="s">
        <v>673</v>
      </c>
      <c r="M11" s="69" t="s">
        <v>673</v>
      </c>
      <c r="N11" s="69"/>
      <c r="O11" s="72" t="s">
        <v>673</v>
      </c>
      <c r="P11" s="69" t="s">
        <v>673</v>
      </c>
      <c r="Q11" s="69"/>
    </row>
    <row r="12" spans="1:18" ht="19.5" customHeight="1">
      <c r="A12" s="69">
        <v>5</v>
      </c>
      <c r="B12" s="94" t="s">
        <v>186</v>
      </c>
      <c r="C12" s="70"/>
      <c r="D12" s="69" t="s">
        <v>186</v>
      </c>
      <c r="E12" s="69"/>
      <c r="F12" s="72" t="s">
        <v>673</v>
      </c>
      <c r="G12" s="69" t="s">
        <v>186</v>
      </c>
      <c r="H12" s="69"/>
      <c r="I12" s="72" t="s">
        <v>314</v>
      </c>
      <c r="J12" s="69" t="s">
        <v>315</v>
      </c>
      <c r="K12" s="69" t="s">
        <v>316</v>
      </c>
      <c r="L12" s="72" t="s">
        <v>673</v>
      </c>
      <c r="M12" s="69" t="s">
        <v>673</v>
      </c>
      <c r="N12" s="69"/>
      <c r="O12" s="72" t="s">
        <v>673</v>
      </c>
      <c r="P12" s="69" t="s">
        <v>673</v>
      </c>
      <c r="Q12" s="69"/>
    </row>
    <row r="13" spans="1:18" ht="19.5" customHeight="1">
      <c r="A13" s="511" t="s">
        <v>306</v>
      </c>
      <c r="B13" s="511"/>
      <c r="C13" s="511"/>
      <c r="D13" s="511"/>
      <c r="E13" s="511"/>
      <c r="F13" s="511"/>
      <c r="G13" s="511"/>
      <c r="H13" s="511"/>
      <c r="I13" s="511"/>
      <c r="J13" s="511"/>
      <c r="K13" s="511"/>
      <c r="L13" s="95"/>
      <c r="M13" s="95"/>
      <c r="N13" s="95"/>
      <c r="O13" s="95"/>
      <c r="P13" s="95"/>
      <c r="Q13" s="95"/>
    </row>
    <row r="14" spans="1:18" ht="19.5" customHeight="1">
      <c r="A14" s="69">
        <v>1</v>
      </c>
      <c r="B14" s="94" t="s">
        <v>186</v>
      </c>
      <c r="C14" s="69"/>
      <c r="D14" s="69" t="s">
        <v>186</v>
      </c>
      <c r="E14" s="69"/>
      <c r="F14" s="72" t="s">
        <v>673</v>
      </c>
      <c r="G14" s="69" t="s">
        <v>186</v>
      </c>
      <c r="H14" s="69"/>
      <c r="I14" s="72" t="s">
        <v>673</v>
      </c>
      <c r="J14" s="69" t="s">
        <v>673</v>
      </c>
      <c r="K14" s="69"/>
      <c r="L14" s="72" t="s">
        <v>673</v>
      </c>
      <c r="M14" s="69" t="s">
        <v>673</v>
      </c>
      <c r="N14" s="69"/>
      <c r="O14" s="72" t="s">
        <v>673</v>
      </c>
      <c r="P14" s="69" t="s">
        <v>673</v>
      </c>
      <c r="Q14" s="69"/>
    </row>
    <row r="15" spans="1:18" ht="19.5" customHeight="1">
      <c r="A15" s="69">
        <v>2</v>
      </c>
      <c r="B15" s="94" t="s">
        <v>186</v>
      </c>
      <c r="C15" s="69"/>
      <c r="D15" s="69" t="s">
        <v>186</v>
      </c>
      <c r="E15" s="69"/>
      <c r="F15" s="72" t="s">
        <v>673</v>
      </c>
      <c r="G15" s="69" t="s">
        <v>186</v>
      </c>
      <c r="H15" s="69"/>
      <c r="I15" s="72" t="s">
        <v>673</v>
      </c>
      <c r="J15" s="69" t="s">
        <v>673</v>
      </c>
      <c r="K15" s="69"/>
      <c r="L15" s="72" t="s">
        <v>673</v>
      </c>
      <c r="M15" s="69" t="s">
        <v>673</v>
      </c>
      <c r="N15" s="69"/>
      <c r="O15" s="72" t="s">
        <v>673</v>
      </c>
      <c r="P15" s="69" t="s">
        <v>673</v>
      </c>
      <c r="Q15" s="69"/>
    </row>
    <row r="16" spans="1:18" ht="19.5" customHeight="1">
      <c r="A16" s="69">
        <v>3</v>
      </c>
      <c r="B16" s="94" t="s">
        <v>186</v>
      </c>
      <c r="C16" s="69"/>
      <c r="D16" s="69" t="s">
        <v>186</v>
      </c>
      <c r="E16" s="69"/>
      <c r="F16" s="72" t="s">
        <v>673</v>
      </c>
      <c r="G16" s="69" t="s">
        <v>186</v>
      </c>
      <c r="H16" s="69"/>
      <c r="I16" s="72" t="s">
        <v>673</v>
      </c>
      <c r="J16" s="69" t="s">
        <v>673</v>
      </c>
      <c r="K16" s="69"/>
      <c r="L16" s="72" t="s">
        <v>673</v>
      </c>
      <c r="M16" s="69" t="s">
        <v>673</v>
      </c>
      <c r="N16" s="69"/>
      <c r="O16" s="72" t="s">
        <v>673</v>
      </c>
      <c r="P16" s="69" t="s">
        <v>673</v>
      </c>
      <c r="Q16" s="69"/>
    </row>
    <row r="17" spans="1:17" ht="19.5" customHeight="1">
      <c r="A17" s="69">
        <v>4</v>
      </c>
      <c r="B17" s="94" t="s">
        <v>186</v>
      </c>
      <c r="C17" s="69"/>
      <c r="D17" s="69" t="s">
        <v>186</v>
      </c>
      <c r="E17" s="69"/>
      <c r="F17" s="72" t="s">
        <v>673</v>
      </c>
      <c r="G17" s="69" t="s">
        <v>186</v>
      </c>
      <c r="H17" s="69"/>
      <c r="I17" s="72" t="s">
        <v>673</v>
      </c>
      <c r="J17" s="69" t="s">
        <v>673</v>
      </c>
      <c r="K17" s="69"/>
      <c r="L17" s="72" t="s">
        <v>673</v>
      </c>
      <c r="M17" s="69" t="s">
        <v>673</v>
      </c>
      <c r="N17" s="69"/>
      <c r="O17" s="72" t="s">
        <v>673</v>
      </c>
      <c r="P17" s="69" t="s">
        <v>673</v>
      </c>
      <c r="Q17" s="69"/>
    </row>
    <row r="18" spans="1:17" ht="19.5" customHeight="1">
      <c r="A18" s="69">
        <v>5</v>
      </c>
      <c r="B18" s="94" t="s">
        <v>186</v>
      </c>
      <c r="C18" s="69"/>
      <c r="D18" s="69" t="s">
        <v>186</v>
      </c>
      <c r="E18" s="69"/>
      <c r="F18" s="72" t="s">
        <v>673</v>
      </c>
      <c r="G18" s="69" t="s">
        <v>186</v>
      </c>
      <c r="H18" s="69"/>
      <c r="I18" s="72" t="s">
        <v>673</v>
      </c>
      <c r="J18" s="69" t="s">
        <v>673</v>
      </c>
      <c r="K18" s="69"/>
      <c r="L18" s="72" t="s">
        <v>673</v>
      </c>
      <c r="M18" s="69" t="s">
        <v>673</v>
      </c>
      <c r="N18" s="69"/>
      <c r="O18" s="72" t="s">
        <v>673</v>
      </c>
      <c r="P18" s="69" t="s">
        <v>673</v>
      </c>
      <c r="Q18" s="69"/>
    </row>
    <row r="19" spans="1:17" ht="19.5" customHeight="1">
      <c r="A19" s="69">
        <v>6</v>
      </c>
      <c r="B19" s="94" t="s">
        <v>186</v>
      </c>
      <c r="C19" s="69"/>
      <c r="D19" s="69" t="s">
        <v>186</v>
      </c>
      <c r="E19" s="69"/>
      <c r="F19" s="72" t="s">
        <v>673</v>
      </c>
      <c r="G19" s="69" t="s">
        <v>186</v>
      </c>
      <c r="H19" s="69"/>
      <c r="I19" s="72" t="s">
        <v>673</v>
      </c>
      <c r="J19" s="69" t="s">
        <v>673</v>
      </c>
      <c r="K19" s="69"/>
      <c r="L19" s="72" t="s">
        <v>673</v>
      </c>
      <c r="M19" s="69" t="s">
        <v>673</v>
      </c>
      <c r="N19" s="69"/>
      <c r="O19" s="72" t="s">
        <v>673</v>
      </c>
      <c r="P19" s="69" t="s">
        <v>673</v>
      </c>
      <c r="Q19" s="69"/>
    </row>
    <row r="20" spans="1:17" ht="19.5" customHeight="1">
      <c r="A20" s="69">
        <v>7</v>
      </c>
      <c r="B20" s="94" t="s">
        <v>186</v>
      </c>
      <c r="C20" s="69"/>
      <c r="D20" s="69" t="s">
        <v>186</v>
      </c>
      <c r="E20" s="69"/>
      <c r="F20" s="72" t="s">
        <v>673</v>
      </c>
      <c r="G20" s="69" t="s">
        <v>186</v>
      </c>
      <c r="H20" s="69"/>
      <c r="I20" s="72" t="s">
        <v>673</v>
      </c>
      <c r="J20" s="69" t="s">
        <v>673</v>
      </c>
      <c r="K20" s="69"/>
      <c r="L20" s="72" t="s">
        <v>673</v>
      </c>
      <c r="M20" s="69" t="s">
        <v>673</v>
      </c>
      <c r="N20" s="69"/>
      <c r="O20" s="72" t="s">
        <v>673</v>
      </c>
      <c r="P20" s="69" t="s">
        <v>673</v>
      </c>
      <c r="Q20" s="69"/>
    </row>
    <row r="21" spans="1:17" ht="19.5" customHeight="1">
      <c r="A21" s="69">
        <v>8</v>
      </c>
      <c r="B21" s="94" t="s">
        <v>186</v>
      </c>
      <c r="C21" s="69"/>
      <c r="D21" s="69" t="s">
        <v>186</v>
      </c>
      <c r="E21" s="69"/>
      <c r="F21" s="72" t="s">
        <v>673</v>
      </c>
      <c r="G21" s="69" t="s">
        <v>186</v>
      </c>
      <c r="H21" s="69"/>
      <c r="I21" s="72" t="s">
        <v>673</v>
      </c>
      <c r="J21" s="69" t="s">
        <v>673</v>
      </c>
      <c r="K21" s="69"/>
      <c r="L21" s="72" t="s">
        <v>673</v>
      </c>
      <c r="M21" s="69" t="s">
        <v>673</v>
      </c>
      <c r="N21" s="69"/>
      <c r="O21" s="72" t="s">
        <v>673</v>
      </c>
      <c r="P21" s="69" t="s">
        <v>673</v>
      </c>
      <c r="Q21" s="69"/>
    </row>
    <row r="22" spans="1:17" ht="19.5" customHeight="1">
      <c r="A22" s="69">
        <v>9</v>
      </c>
      <c r="B22" s="94" t="s">
        <v>186</v>
      </c>
      <c r="C22" s="69"/>
      <c r="D22" s="69" t="s">
        <v>186</v>
      </c>
      <c r="E22" s="69"/>
      <c r="F22" s="72" t="s">
        <v>673</v>
      </c>
      <c r="G22" s="69" t="s">
        <v>186</v>
      </c>
      <c r="H22" s="69"/>
      <c r="I22" s="72" t="s">
        <v>673</v>
      </c>
      <c r="J22" s="69" t="s">
        <v>673</v>
      </c>
      <c r="K22" s="69"/>
      <c r="L22" s="72" t="s">
        <v>673</v>
      </c>
      <c r="M22" s="69" t="s">
        <v>673</v>
      </c>
      <c r="N22" s="69"/>
      <c r="O22" s="72" t="s">
        <v>673</v>
      </c>
      <c r="P22" s="69" t="s">
        <v>673</v>
      </c>
      <c r="Q22" s="69"/>
    </row>
    <row r="23" spans="1:17" ht="19.5" customHeight="1">
      <c r="A23" s="69">
        <v>10</v>
      </c>
      <c r="B23" s="94" t="s">
        <v>186</v>
      </c>
      <c r="C23" s="69"/>
      <c r="D23" s="69" t="s">
        <v>186</v>
      </c>
      <c r="E23" s="69"/>
      <c r="F23" s="72" t="s">
        <v>673</v>
      </c>
      <c r="G23" s="69" t="s">
        <v>186</v>
      </c>
      <c r="H23" s="69"/>
      <c r="I23" s="72" t="s">
        <v>673</v>
      </c>
      <c r="J23" s="69" t="s">
        <v>673</v>
      </c>
      <c r="K23" s="69"/>
      <c r="L23" s="72" t="s">
        <v>673</v>
      </c>
      <c r="M23" s="69" t="s">
        <v>673</v>
      </c>
      <c r="N23" s="69"/>
      <c r="O23" s="72" t="s">
        <v>673</v>
      </c>
      <c r="P23" s="69" t="s">
        <v>673</v>
      </c>
      <c r="Q23" s="69"/>
    </row>
    <row r="24" spans="1:17" ht="19.5" customHeight="1">
      <c r="A24" s="69">
        <v>11</v>
      </c>
      <c r="B24" s="94" t="s">
        <v>186</v>
      </c>
      <c r="C24" s="69"/>
      <c r="D24" s="69" t="s">
        <v>186</v>
      </c>
      <c r="E24" s="69"/>
      <c r="F24" s="72" t="s">
        <v>673</v>
      </c>
      <c r="G24" s="69" t="s">
        <v>186</v>
      </c>
      <c r="H24" s="69"/>
      <c r="I24" s="72" t="s">
        <v>673</v>
      </c>
      <c r="J24" s="69" t="s">
        <v>673</v>
      </c>
      <c r="K24" s="69"/>
      <c r="L24" s="72" t="s">
        <v>673</v>
      </c>
      <c r="M24" s="69" t="s">
        <v>673</v>
      </c>
      <c r="N24" s="69"/>
      <c r="O24" s="72" t="s">
        <v>673</v>
      </c>
      <c r="P24" s="69" t="s">
        <v>673</v>
      </c>
      <c r="Q24" s="69"/>
    </row>
    <row r="25" spans="1:17" ht="19.5" customHeight="1">
      <c r="A25" s="69">
        <v>12</v>
      </c>
      <c r="B25" s="94" t="s">
        <v>186</v>
      </c>
      <c r="C25" s="69"/>
      <c r="D25" s="69" t="s">
        <v>186</v>
      </c>
      <c r="E25" s="69"/>
      <c r="F25" s="72" t="s">
        <v>673</v>
      </c>
      <c r="G25" s="69" t="s">
        <v>186</v>
      </c>
      <c r="H25" s="69"/>
      <c r="I25" s="72" t="s">
        <v>673</v>
      </c>
      <c r="J25" s="69" t="s">
        <v>673</v>
      </c>
      <c r="K25" s="69"/>
      <c r="L25" s="72" t="s">
        <v>673</v>
      </c>
      <c r="M25" s="69" t="s">
        <v>673</v>
      </c>
      <c r="N25" s="69"/>
      <c r="O25" s="72" t="s">
        <v>673</v>
      </c>
      <c r="P25" s="69" t="s">
        <v>673</v>
      </c>
      <c r="Q25" s="69"/>
    </row>
    <row r="26" spans="1:17" ht="19.5" customHeight="1">
      <c r="A26" s="69">
        <v>13</v>
      </c>
      <c r="B26" s="94" t="s">
        <v>186</v>
      </c>
      <c r="C26" s="69"/>
      <c r="D26" s="69" t="s">
        <v>186</v>
      </c>
      <c r="E26" s="69"/>
      <c r="F26" s="72" t="s">
        <v>673</v>
      </c>
      <c r="G26" s="69" t="s">
        <v>186</v>
      </c>
      <c r="H26" s="69"/>
      <c r="I26" s="72" t="s">
        <v>673</v>
      </c>
      <c r="J26" s="69" t="s">
        <v>673</v>
      </c>
      <c r="K26" s="69"/>
      <c r="L26" s="72" t="s">
        <v>673</v>
      </c>
      <c r="M26" s="69" t="s">
        <v>673</v>
      </c>
      <c r="N26" s="69"/>
      <c r="O26" s="72" t="s">
        <v>673</v>
      </c>
      <c r="P26" s="69" t="s">
        <v>673</v>
      </c>
      <c r="Q26" s="69"/>
    </row>
    <row r="27" spans="1:17" ht="19.5" customHeight="1">
      <c r="A27" s="69">
        <v>14</v>
      </c>
      <c r="B27" s="94" t="s">
        <v>186</v>
      </c>
      <c r="C27" s="69"/>
      <c r="D27" s="69" t="s">
        <v>186</v>
      </c>
      <c r="E27" s="69"/>
      <c r="F27" s="72" t="s">
        <v>673</v>
      </c>
      <c r="G27" s="69" t="s">
        <v>186</v>
      </c>
      <c r="H27" s="69"/>
      <c r="I27" s="72" t="s">
        <v>673</v>
      </c>
      <c r="J27" s="69" t="s">
        <v>673</v>
      </c>
      <c r="K27" s="69"/>
      <c r="L27" s="72" t="s">
        <v>673</v>
      </c>
      <c r="M27" s="69" t="s">
        <v>673</v>
      </c>
      <c r="N27" s="69"/>
      <c r="O27" s="72" t="s">
        <v>673</v>
      </c>
      <c r="P27" s="69" t="s">
        <v>673</v>
      </c>
      <c r="Q27" s="69"/>
    </row>
    <row r="28" spans="1:17" ht="19.5" customHeight="1">
      <c r="A28" s="69">
        <v>15</v>
      </c>
      <c r="B28" s="94" t="s">
        <v>186</v>
      </c>
      <c r="C28" s="69"/>
      <c r="D28" s="69" t="s">
        <v>186</v>
      </c>
      <c r="E28" s="69"/>
      <c r="F28" s="72" t="s">
        <v>673</v>
      </c>
      <c r="G28" s="69" t="s">
        <v>186</v>
      </c>
      <c r="H28" s="69"/>
      <c r="I28" s="72" t="s">
        <v>673</v>
      </c>
      <c r="J28" s="69" t="s">
        <v>673</v>
      </c>
      <c r="K28" s="69"/>
      <c r="L28" s="72" t="s">
        <v>673</v>
      </c>
      <c r="M28" s="69" t="s">
        <v>673</v>
      </c>
      <c r="N28" s="69"/>
      <c r="O28" s="72" t="s">
        <v>673</v>
      </c>
      <c r="P28" s="69" t="s">
        <v>673</v>
      </c>
      <c r="Q28" s="69"/>
    </row>
    <row r="29" spans="1:17" ht="19.5" customHeight="1">
      <c r="A29" s="69">
        <v>16</v>
      </c>
      <c r="B29" s="94" t="s">
        <v>186</v>
      </c>
      <c r="C29" s="69"/>
      <c r="D29" s="69" t="s">
        <v>186</v>
      </c>
      <c r="E29" s="69"/>
      <c r="F29" s="72" t="s">
        <v>673</v>
      </c>
      <c r="G29" s="69" t="s">
        <v>186</v>
      </c>
      <c r="H29" s="69"/>
      <c r="I29" s="72" t="s">
        <v>673</v>
      </c>
      <c r="J29" s="69" t="s">
        <v>673</v>
      </c>
      <c r="K29" s="69"/>
      <c r="L29" s="72" t="s">
        <v>673</v>
      </c>
      <c r="M29" s="69" t="s">
        <v>673</v>
      </c>
      <c r="N29" s="69"/>
      <c r="O29" s="72" t="s">
        <v>673</v>
      </c>
      <c r="P29" s="69" t="s">
        <v>673</v>
      </c>
      <c r="Q29" s="69"/>
    </row>
    <row r="30" spans="1:17" ht="19.5" customHeight="1">
      <c r="A30" s="69">
        <v>17</v>
      </c>
      <c r="B30" s="94" t="s">
        <v>186</v>
      </c>
      <c r="C30" s="69"/>
      <c r="D30" s="69" t="s">
        <v>186</v>
      </c>
      <c r="E30" s="69"/>
      <c r="F30" s="72" t="s">
        <v>673</v>
      </c>
      <c r="G30" s="69" t="s">
        <v>186</v>
      </c>
      <c r="H30" s="69"/>
      <c r="I30" s="72" t="s">
        <v>673</v>
      </c>
      <c r="J30" s="69" t="s">
        <v>673</v>
      </c>
      <c r="K30" s="69"/>
      <c r="L30" s="72" t="s">
        <v>673</v>
      </c>
      <c r="M30" s="69" t="s">
        <v>673</v>
      </c>
      <c r="N30" s="69"/>
      <c r="O30" s="72" t="s">
        <v>673</v>
      </c>
      <c r="P30" s="69" t="s">
        <v>673</v>
      </c>
      <c r="Q30" s="69"/>
    </row>
    <row r="31" spans="1:17" ht="19.5" customHeight="1">
      <c r="A31" s="69">
        <v>18</v>
      </c>
      <c r="B31" s="94" t="s">
        <v>186</v>
      </c>
      <c r="C31" s="69"/>
      <c r="D31" s="69" t="s">
        <v>186</v>
      </c>
      <c r="E31" s="69"/>
      <c r="F31" s="72" t="s">
        <v>673</v>
      </c>
      <c r="G31" s="69" t="s">
        <v>186</v>
      </c>
      <c r="H31" s="69"/>
      <c r="I31" s="72" t="s">
        <v>673</v>
      </c>
      <c r="J31" s="69" t="s">
        <v>673</v>
      </c>
      <c r="K31" s="69"/>
      <c r="L31" s="72" t="s">
        <v>673</v>
      </c>
      <c r="M31" s="69" t="s">
        <v>673</v>
      </c>
      <c r="N31" s="69"/>
      <c r="O31" s="72" t="s">
        <v>673</v>
      </c>
      <c r="P31" s="69" t="s">
        <v>673</v>
      </c>
      <c r="Q31" s="69"/>
    </row>
    <row r="32" spans="1:17" ht="19.5" customHeight="1">
      <c r="A32" s="69">
        <v>19</v>
      </c>
      <c r="B32" s="94" t="s">
        <v>186</v>
      </c>
      <c r="C32" s="69"/>
      <c r="D32" s="69" t="s">
        <v>186</v>
      </c>
      <c r="E32" s="69"/>
      <c r="F32" s="72" t="s">
        <v>673</v>
      </c>
      <c r="G32" s="69" t="s">
        <v>186</v>
      </c>
      <c r="H32" s="69"/>
      <c r="I32" s="72" t="s">
        <v>673</v>
      </c>
      <c r="J32" s="69" t="s">
        <v>673</v>
      </c>
      <c r="K32" s="69"/>
      <c r="L32" s="72" t="s">
        <v>673</v>
      </c>
      <c r="M32" s="69" t="s">
        <v>673</v>
      </c>
      <c r="N32" s="69"/>
      <c r="O32" s="72" t="s">
        <v>673</v>
      </c>
      <c r="P32" s="69" t="s">
        <v>673</v>
      </c>
      <c r="Q32" s="69"/>
    </row>
    <row r="33" spans="1:17" ht="19.5" customHeight="1">
      <c r="A33" s="69">
        <v>20</v>
      </c>
      <c r="B33" s="94" t="s">
        <v>186</v>
      </c>
      <c r="C33" s="69"/>
      <c r="D33" s="69" t="s">
        <v>186</v>
      </c>
      <c r="E33" s="69"/>
      <c r="F33" s="72" t="s">
        <v>673</v>
      </c>
      <c r="G33" s="69" t="s">
        <v>186</v>
      </c>
      <c r="H33" s="69"/>
      <c r="I33" s="72" t="s">
        <v>673</v>
      </c>
      <c r="J33" s="69" t="s">
        <v>673</v>
      </c>
      <c r="K33" s="69"/>
      <c r="L33" s="72" t="s">
        <v>673</v>
      </c>
      <c r="M33" s="69" t="s">
        <v>673</v>
      </c>
      <c r="N33" s="69"/>
      <c r="O33" s="72" t="s">
        <v>673</v>
      </c>
      <c r="P33" s="69" t="s">
        <v>673</v>
      </c>
      <c r="Q33" s="69"/>
    </row>
  </sheetData>
  <mergeCells count="1">
    <mergeCell ref="A13:K13"/>
  </mergeCells>
  <phoneticPr fontId="20"/>
  <dataValidations count="3">
    <dataValidation type="list" allowBlank="1" showInputMessage="1" sqref="B6:B12 B14:B33" xr:uid="{00000000-0002-0000-1100-000000000000}">
      <formula1>媒体</formula1>
    </dataValidation>
    <dataValidation type="list" allowBlank="1" showInputMessage="1" sqref="P14:P33 G14:G33 J6:J12 J14:J33 M6:M12 M14:M33 P6:P12 D6:D12 D14:D33 G6:G12" xr:uid="{00000000-0002-0000-1100-000001000000}">
      <formula1>組み合わせルール</formula1>
    </dataValidation>
    <dataValidation type="list" allowBlank="1" showInputMessage="1" sqref="F6:F12 F14:F33 I6:I12 I14:I33 L6:L12 L14:L33 O6:O12 O14:O33" xr:uid="{00000000-0002-0000-1100-000002000000}">
      <formula1>AND</formula1>
    </dataValidation>
  </dataValidations>
  <pageMargins left="0.39370078740157483" right="0.39370078740157483" top="0.39370078740157483" bottom="0.39370078740157483" header="0.19685039370078741" footer="0.19685039370078741"/>
  <pageSetup paperSize="8" scale="65" fitToHeight="2" orientation="landscape"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5" tint="0.79998168889431442"/>
  </sheetPr>
  <dimension ref="A1:W17"/>
  <sheetViews>
    <sheetView showGridLines="0" view="pageBreakPreview" zoomScale="85" zoomScaleNormal="100" zoomScaleSheetLayoutView="85" workbookViewId="0">
      <pane ySplit="5" topLeftCell="A6" activePane="bottomLeft" state="frozen"/>
      <selection pane="bottomLeft"/>
    </sheetView>
  </sheetViews>
  <sheetFormatPr defaultColWidth="8.88671875" defaultRowHeight="19.5" customHeight="1"/>
  <cols>
    <col min="1" max="11" width="15.77734375" style="386" customWidth="1"/>
    <col min="12" max="12" width="26" style="386" customWidth="1"/>
    <col min="13" max="13" width="30.44140625" style="386" customWidth="1"/>
    <col min="14" max="22" width="8.5546875" style="386" customWidth="1"/>
    <col min="23" max="23" width="15.33203125" style="386" customWidth="1"/>
    <col min="24" max="16384" width="8.88671875" style="386"/>
  </cols>
  <sheetData>
    <row r="1" spans="1:23" s="384" customFormat="1" ht="19.5" customHeight="1">
      <c r="A1" s="114" t="str">
        <f>"Ver."&amp;変更履歴!$B$1</f>
        <v>Ver.10.1</v>
      </c>
    </row>
    <row r="2" spans="1:23" s="384" customFormat="1" ht="19.5" customHeight="1">
      <c r="A2" s="385"/>
      <c r="B2" s="385"/>
      <c r="C2" s="385"/>
      <c r="D2" s="385"/>
    </row>
    <row r="3" spans="1:23" s="384" customFormat="1" ht="19.5" customHeight="1">
      <c r="A3" s="385"/>
      <c r="B3" s="385"/>
      <c r="C3" s="385"/>
      <c r="D3" s="385"/>
    </row>
    <row r="4" spans="1:23" ht="22.5" customHeight="1">
      <c r="A4" s="516" t="s">
        <v>290</v>
      </c>
      <c r="B4" s="516" t="s">
        <v>1531</v>
      </c>
      <c r="C4" s="521" t="s">
        <v>379</v>
      </c>
      <c r="D4" s="521" t="s">
        <v>318</v>
      </c>
      <c r="E4" s="518" t="s">
        <v>1904</v>
      </c>
      <c r="F4" s="519"/>
      <c r="G4" s="520"/>
      <c r="H4" s="516" t="s">
        <v>1903</v>
      </c>
      <c r="I4" s="518" t="s">
        <v>1902</v>
      </c>
      <c r="J4" s="519"/>
      <c r="K4" s="520"/>
      <c r="L4" s="512" t="s">
        <v>1905</v>
      </c>
      <c r="M4" s="514" t="s">
        <v>1906</v>
      </c>
      <c r="N4" s="523" t="s">
        <v>698</v>
      </c>
      <c r="O4" s="524"/>
      <c r="P4" s="524"/>
      <c r="Q4" s="524"/>
      <c r="R4" s="524"/>
      <c r="S4" s="524"/>
      <c r="T4" s="524"/>
      <c r="U4" s="524"/>
      <c r="V4" s="525"/>
      <c r="W4" s="514" t="s">
        <v>864</v>
      </c>
    </row>
    <row r="5" spans="1:23" ht="22.5" customHeight="1">
      <c r="A5" s="517"/>
      <c r="B5" s="517"/>
      <c r="C5" s="522"/>
      <c r="D5" s="522"/>
      <c r="E5" s="387" t="s">
        <v>1898</v>
      </c>
      <c r="F5" s="387" t="s">
        <v>1899</v>
      </c>
      <c r="G5" s="387" t="s">
        <v>1900</v>
      </c>
      <c r="H5" s="517"/>
      <c r="I5" s="387" t="s">
        <v>1899</v>
      </c>
      <c r="J5" s="387" t="s">
        <v>1898</v>
      </c>
      <c r="K5" s="387" t="s">
        <v>1900</v>
      </c>
      <c r="L5" s="513"/>
      <c r="M5" s="515"/>
      <c r="N5" s="523" t="s">
        <v>699</v>
      </c>
      <c r="O5" s="526"/>
      <c r="P5" s="525"/>
      <c r="Q5" s="523" t="s">
        <v>700</v>
      </c>
      <c r="R5" s="526"/>
      <c r="S5" s="525"/>
      <c r="T5" s="523" t="s">
        <v>701</v>
      </c>
      <c r="U5" s="526"/>
      <c r="V5" s="525"/>
      <c r="W5" s="515"/>
    </row>
    <row r="6" spans="1:23" ht="19.5" customHeight="1">
      <c r="A6" s="388" t="s">
        <v>186</v>
      </c>
      <c r="B6" s="388"/>
      <c r="C6" s="388"/>
      <c r="D6" s="107" t="s">
        <v>186</v>
      </c>
      <c r="E6" s="388" t="s">
        <v>186</v>
      </c>
      <c r="F6" s="388" t="s">
        <v>1399</v>
      </c>
      <c r="G6" s="388" t="s">
        <v>1399</v>
      </c>
      <c r="H6" s="388" t="s">
        <v>1399</v>
      </c>
      <c r="I6" s="389" t="s">
        <v>1399</v>
      </c>
      <c r="J6" s="389" t="s">
        <v>1399</v>
      </c>
      <c r="K6" s="388" t="s">
        <v>1399</v>
      </c>
      <c r="L6" s="388"/>
      <c r="M6" s="388"/>
      <c r="N6" s="395" t="s">
        <v>186</v>
      </c>
      <c r="O6" s="109" t="s">
        <v>522</v>
      </c>
      <c r="P6" s="396"/>
      <c r="Q6" s="395" t="s">
        <v>186</v>
      </c>
      <c r="R6" s="109" t="s">
        <v>522</v>
      </c>
      <c r="S6" s="396"/>
      <c r="T6" s="395" t="s">
        <v>186</v>
      </c>
      <c r="U6" s="109" t="s">
        <v>522</v>
      </c>
      <c r="V6" s="396"/>
      <c r="W6" s="388"/>
    </row>
    <row r="7" spans="1:23" ht="19.5" customHeight="1">
      <c r="A7" s="388" t="s">
        <v>186</v>
      </c>
      <c r="B7" s="388"/>
      <c r="C7" s="388"/>
      <c r="D7" s="107" t="s">
        <v>186</v>
      </c>
      <c r="E7" s="388" t="s">
        <v>186</v>
      </c>
      <c r="F7" s="388" t="s">
        <v>1399</v>
      </c>
      <c r="G7" s="388" t="s">
        <v>1399</v>
      </c>
      <c r="H7" s="388" t="s">
        <v>1399</v>
      </c>
      <c r="I7" s="389" t="s">
        <v>1399</v>
      </c>
      <c r="J7" s="389" t="s">
        <v>1399</v>
      </c>
      <c r="K7" s="388" t="s">
        <v>1399</v>
      </c>
      <c r="L7" s="388"/>
      <c r="M7" s="388"/>
      <c r="N7" s="395" t="s">
        <v>186</v>
      </c>
      <c r="O7" s="109" t="s">
        <v>522</v>
      </c>
      <c r="P7" s="396"/>
      <c r="Q7" s="395" t="s">
        <v>186</v>
      </c>
      <c r="R7" s="109" t="s">
        <v>522</v>
      </c>
      <c r="S7" s="396"/>
      <c r="T7" s="395" t="s">
        <v>186</v>
      </c>
      <c r="U7" s="109" t="s">
        <v>522</v>
      </c>
      <c r="V7" s="396"/>
      <c r="W7" s="388"/>
    </row>
    <row r="8" spans="1:23" ht="19.5" customHeight="1">
      <c r="A8" s="388" t="s">
        <v>186</v>
      </c>
      <c r="B8" s="388"/>
      <c r="C8" s="388"/>
      <c r="D8" s="107" t="s">
        <v>186</v>
      </c>
      <c r="E8" s="388" t="s">
        <v>186</v>
      </c>
      <c r="F8" s="388" t="s">
        <v>1399</v>
      </c>
      <c r="G8" s="388" t="s">
        <v>1399</v>
      </c>
      <c r="H8" s="388" t="s">
        <v>1399</v>
      </c>
      <c r="I8" s="389" t="s">
        <v>1399</v>
      </c>
      <c r="J8" s="389" t="s">
        <v>1399</v>
      </c>
      <c r="K8" s="388" t="s">
        <v>1399</v>
      </c>
      <c r="L8" s="388"/>
      <c r="M8" s="388"/>
      <c r="N8" s="395" t="s">
        <v>186</v>
      </c>
      <c r="O8" s="109" t="s">
        <v>522</v>
      </c>
      <c r="P8" s="396"/>
      <c r="Q8" s="395" t="s">
        <v>186</v>
      </c>
      <c r="R8" s="109" t="s">
        <v>522</v>
      </c>
      <c r="S8" s="396"/>
      <c r="T8" s="395" t="s">
        <v>186</v>
      </c>
      <c r="U8" s="109" t="s">
        <v>522</v>
      </c>
      <c r="V8" s="396"/>
      <c r="W8" s="388"/>
    </row>
    <row r="9" spans="1:23" ht="19.5" customHeight="1">
      <c r="A9" s="388" t="s">
        <v>186</v>
      </c>
      <c r="B9" s="388"/>
      <c r="C9" s="388"/>
      <c r="D9" s="107" t="s">
        <v>186</v>
      </c>
      <c r="E9" s="388" t="s">
        <v>186</v>
      </c>
      <c r="F9" s="388" t="s">
        <v>1399</v>
      </c>
      <c r="G9" s="388" t="s">
        <v>1399</v>
      </c>
      <c r="H9" s="388" t="s">
        <v>1399</v>
      </c>
      <c r="I9" s="389" t="s">
        <v>1399</v>
      </c>
      <c r="J9" s="389" t="s">
        <v>1399</v>
      </c>
      <c r="K9" s="388" t="s">
        <v>1399</v>
      </c>
      <c r="L9" s="388"/>
      <c r="M9" s="388"/>
      <c r="N9" s="395" t="s">
        <v>186</v>
      </c>
      <c r="O9" s="109" t="s">
        <v>522</v>
      </c>
      <c r="P9" s="396"/>
      <c r="Q9" s="395" t="s">
        <v>186</v>
      </c>
      <c r="R9" s="109" t="s">
        <v>522</v>
      </c>
      <c r="S9" s="396"/>
      <c r="T9" s="395" t="s">
        <v>186</v>
      </c>
      <c r="U9" s="109" t="s">
        <v>522</v>
      </c>
      <c r="V9" s="396"/>
      <c r="W9" s="388"/>
    </row>
    <row r="10" spans="1:23" ht="19.5" customHeight="1">
      <c r="A10" s="388" t="s">
        <v>186</v>
      </c>
      <c r="B10" s="388"/>
      <c r="C10" s="388"/>
      <c r="D10" s="107" t="s">
        <v>186</v>
      </c>
      <c r="E10" s="388" t="s">
        <v>186</v>
      </c>
      <c r="F10" s="388" t="s">
        <v>1399</v>
      </c>
      <c r="G10" s="388" t="s">
        <v>1399</v>
      </c>
      <c r="H10" s="388" t="s">
        <v>1399</v>
      </c>
      <c r="I10" s="389" t="s">
        <v>1399</v>
      </c>
      <c r="J10" s="389" t="s">
        <v>1399</v>
      </c>
      <c r="K10" s="388" t="s">
        <v>1399</v>
      </c>
      <c r="L10" s="388"/>
      <c r="M10" s="388"/>
      <c r="N10" s="395" t="s">
        <v>186</v>
      </c>
      <c r="O10" s="109" t="s">
        <v>522</v>
      </c>
      <c r="P10" s="396"/>
      <c r="Q10" s="395" t="s">
        <v>186</v>
      </c>
      <c r="R10" s="109" t="s">
        <v>522</v>
      </c>
      <c r="S10" s="396"/>
      <c r="T10" s="395" t="s">
        <v>186</v>
      </c>
      <c r="U10" s="109" t="s">
        <v>522</v>
      </c>
      <c r="V10" s="396"/>
      <c r="W10" s="388"/>
    </row>
    <row r="11" spans="1:23" ht="19.5" customHeight="1">
      <c r="A11" s="388" t="s">
        <v>186</v>
      </c>
      <c r="B11" s="388"/>
      <c r="C11" s="388"/>
      <c r="D11" s="107" t="s">
        <v>186</v>
      </c>
      <c r="E11" s="388" t="s">
        <v>186</v>
      </c>
      <c r="F11" s="388" t="s">
        <v>1399</v>
      </c>
      <c r="G11" s="388" t="s">
        <v>1399</v>
      </c>
      <c r="H11" s="388" t="s">
        <v>1399</v>
      </c>
      <c r="I11" s="389" t="s">
        <v>1399</v>
      </c>
      <c r="J11" s="389" t="s">
        <v>1399</v>
      </c>
      <c r="K11" s="388" t="s">
        <v>1399</v>
      </c>
      <c r="L11" s="388"/>
      <c r="M11" s="388"/>
      <c r="N11" s="395" t="s">
        <v>186</v>
      </c>
      <c r="O11" s="109" t="s">
        <v>522</v>
      </c>
      <c r="P11" s="396"/>
      <c r="Q11" s="395" t="s">
        <v>186</v>
      </c>
      <c r="R11" s="109" t="s">
        <v>522</v>
      </c>
      <c r="S11" s="396"/>
      <c r="T11" s="395" t="s">
        <v>186</v>
      </c>
      <c r="U11" s="109" t="s">
        <v>522</v>
      </c>
      <c r="V11" s="396"/>
      <c r="W11" s="388"/>
    </row>
    <row r="12" spans="1:23" ht="19.5" customHeight="1">
      <c r="A12" s="388" t="s">
        <v>186</v>
      </c>
      <c r="B12" s="388"/>
      <c r="C12" s="388"/>
      <c r="D12" s="107" t="s">
        <v>186</v>
      </c>
      <c r="E12" s="388" t="s">
        <v>186</v>
      </c>
      <c r="F12" s="388" t="s">
        <v>1399</v>
      </c>
      <c r="G12" s="388" t="s">
        <v>1399</v>
      </c>
      <c r="H12" s="388" t="s">
        <v>1399</v>
      </c>
      <c r="I12" s="389" t="s">
        <v>1399</v>
      </c>
      <c r="J12" s="389" t="s">
        <v>1399</v>
      </c>
      <c r="K12" s="388" t="s">
        <v>1399</v>
      </c>
      <c r="L12" s="388"/>
      <c r="M12" s="388"/>
      <c r="N12" s="395" t="s">
        <v>186</v>
      </c>
      <c r="O12" s="109" t="s">
        <v>522</v>
      </c>
      <c r="P12" s="396"/>
      <c r="Q12" s="395" t="s">
        <v>186</v>
      </c>
      <c r="R12" s="109" t="s">
        <v>522</v>
      </c>
      <c r="S12" s="396"/>
      <c r="T12" s="395" t="s">
        <v>186</v>
      </c>
      <c r="U12" s="109" t="s">
        <v>522</v>
      </c>
      <c r="V12" s="396"/>
      <c r="W12" s="388"/>
    </row>
    <row r="13" spans="1:23" ht="19.5" customHeight="1">
      <c r="A13" s="388" t="s">
        <v>186</v>
      </c>
      <c r="B13" s="388"/>
      <c r="C13" s="388"/>
      <c r="D13" s="107" t="s">
        <v>186</v>
      </c>
      <c r="E13" s="388" t="s">
        <v>186</v>
      </c>
      <c r="F13" s="388" t="s">
        <v>1399</v>
      </c>
      <c r="G13" s="388" t="s">
        <v>1399</v>
      </c>
      <c r="H13" s="388" t="s">
        <v>1399</v>
      </c>
      <c r="I13" s="389" t="s">
        <v>1399</v>
      </c>
      <c r="J13" s="389" t="s">
        <v>1399</v>
      </c>
      <c r="K13" s="388" t="s">
        <v>1399</v>
      </c>
      <c r="L13" s="388"/>
      <c r="M13" s="388"/>
      <c r="N13" s="395" t="s">
        <v>186</v>
      </c>
      <c r="O13" s="109" t="s">
        <v>522</v>
      </c>
      <c r="P13" s="396"/>
      <c r="Q13" s="395" t="s">
        <v>186</v>
      </c>
      <c r="R13" s="109" t="s">
        <v>522</v>
      </c>
      <c r="S13" s="396"/>
      <c r="T13" s="395" t="s">
        <v>186</v>
      </c>
      <c r="U13" s="109" t="s">
        <v>522</v>
      </c>
      <c r="V13" s="396"/>
      <c r="W13" s="388"/>
    </row>
    <row r="15" spans="1:23" ht="19.5" customHeight="1">
      <c r="A15" s="390" t="s">
        <v>1901</v>
      </c>
    </row>
    <row r="16" spans="1:23" ht="19.5" customHeight="1">
      <c r="A16" s="390" t="s">
        <v>1907</v>
      </c>
    </row>
    <row r="17" spans="1:1" ht="19.5" customHeight="1">
      <c r="A17" s="390"/>
    </row>
  </sheetData>
  <mergeCells count="14">
    <mergeCell ref="N4:V4"/>
    <mergeCell ref="N5:P5"/>
    <mergeCell ref="Q5:S5"/>
    <mergeCell ref="T5:V5"/>
    <mergeCell ref="W4:W5"/>
    <mergeCell ref="L4:L5"/>
    <mergeCell ref="M4:M5"/>
    <mergeCell ref="A4:A5"/>
    <mergeCell ref="B4:B5"/>
    <mergeCell ref="E4:G4"/>
    <mergeCell ref="H4:H5"/>
    <mergeCell ref="I4:K4"/>
    <mergeCell ref="C4:C5"/>
    <mergeCell ref="D4:D5"/>
  </mergeCells>
  <phoneticPr fontId="20"/>
  <conditionalFormatting sqref="L11:M13">
    <cfRule type="expression" dxfId="36" priority="35">
      <formula>$B11="GDN"</formula>
    </cfRule>
  </conditionalFormatting>
  <conditionalFormatting sqref="G7:G13">
    <cfRule type="expression" dxfId="35" priority="32">
      <formula>XEY7="YDN"</formula>
    </cfRule>
  </conditionalFormatting>
  <conditionalFormatting sqref="L6:L13">
    <cfRule type="expression" dxfId="34" priority="6">
      <formula>$A6="Yahoo!"</formula>
    </cfRule>
    <cfRule type="expression" dxfId="33" priority="31">
      <formula>A6="YDN"</formula>
    </cfRule>
  </conditionalFormatting>
  <conditionalFormatting sqref="J7:J13">
    <cfRule type="expression" dxfId="32" priority="24">
      <formula>A7="YDN"</formula>
    </cfRule>
    <cfRule type="expression" dxfId="31" priority="28">
      <formula>E7="YDN"</formula>
    </cfRule>
  </conditionalFormatting>
  <conditionalFormatting sqref="K7:K13">
    <cfRule type="expression" dxfId="30" priority="23">
      <formula>A7="YDN"</formula>
    </cfRule>
    <cfRule type="expression" dxfId="29" priority="27">
      <formula>F7="YDN"</formula>
    </cfRule>
  </conditionalFormatting>
  <conditionalFormatting sqref="I6:I13">
    <cfRule type="expression" dxfId="28" priority="26">
      <formula>B6="YDN"</formula>
    </cfRule>
  </conditionalFormatting>
  <conditionalFormatting sqref="I6:I13">
    <cfRule type="expression" dxfId="27" priority="25">
      <formula>A6="YDN"</formula>
    </cfRule>
  </conditionalFormatting>
  <conditionalFormatting sqref="E6:E13">
    <cfRule type="expression" dxfId="26" priority="21">
      <formula>$A6="Yahoo!"</formula>
    </cfRule>
  </conditionalFormatting>
  <conditionalFormatting sqref="F6:F13">
    <cfRule type="expression" dxfId="25" priority="20">
      <formula>$A6="Yahoo!"</formula>
    </cfRule>
  </conditionalFormatting>
  <conditionalFormatting sqref="H6:H13">
    <cfRule type="expression" dxfId="24" priority="18">
      <formula>$A6="Yahoo!"</formula>
    </cfRule>
  </conditionalFormatting>
  <conditionalFormatting sqref="I6:I13">
    <cfRule type="expression" dxfId="23" priority="17">
      <formula>$A6="Yahoo!"</formula>
    </cfRule>
  </conditionalFormatting>
  <conditionalFormatting sqref="L6">
    <cfRule type="expression" dxfId="22" priority="9">
      <formula>B6="YDN"</formula>
    </cfRule>
    <cfRule type="expression" dxfId="21" priority="10">
      <formula>G6="YDN"</formula>
    </cfRule>
  </conditionalFormatting>
  <conditionalFormatting sqref="L6">
    <cfRule type="expression" dxfId="20" priority="8">
      <formula>G6="YDN"</formula>
    </cfRule>
  </conditionalFormatting>
  <conditionalFormatting sqref="L6">
    <cfRule type="expression" dxfId="19" priority="7">
      <formula>F6="YDN"</formula>
    </cfRule>
  </conditionalFormatting>
  <conditionalFormatting sqref="G6:G13">
    <cfRule type="expression" dxfId="18" priority="5">
      <formula>$A6="Yahoo!"</formula>
    </cfRule>
  </conditionalFormatting>
  <conditionalFormatting sqref="J6:J13">
    <cfRule type="expression" dxfId="17" priority="4">
      <formula>E6="YDN"</formula>
    </cfRule>
  </conditionalFormatting>
  <conditionalFormatting sqref="J6:J13">
    <cfRule type="expression" dxfId="16" priority="3">
      <formula>B6="YDN"</formula>
    </cfRule>
  </conditionalFormatting>
  <conditionalFormatting sqref="J6:J13">
    <cfRule type="expression" dxfId="15" priority="2">
      <formula>$A6="Yahoo!"</formula>
    </cfRule>
  </conditionalFormatting>
  <conditionalFormatting sqref="K6:K13">
    <cfRule type="expression" dxfId="14" priority="1">
      <formula>$A6="Yahoo!"</formula>
    </cfRule>
  </conditionalFormatting>
  <dataValidations count="10">
    <dataValidation type="list" showInputMessage="1" showErrorMessage="1" sqref="A6:A13" xr:uid="{00000000-0002-0000-1200-000000000000}">
      <formula1>媒体</formula1>
    </dataValidation>
    <dataValidation type="list" allowBlank="1" showInputMessage="1" sqref="D6:D13" xr:uid="{00000000-0002-0000-1200-000001000000}">
      <formula1>配信</formula1>
    </dataValidation>
    <dataValidation type="list" allowBlank="1" showInputMessage="1" showErrorMessage="1" sqref="N6:N13 Q6:Q13 T6:T13" xr:uid="{00000000-0002-0000-1200-000002000000}">
      <formula1>IF($A6="Google",動的ターゲット,IF($A6="Yahoo!",ターゲット設定,選択肢なし))</formula1>
    </dataValidation>
    <dataValidation type="list" allowBlank="1" showInputMessage="1" showErrorMessage="1" sqref="F6:F13" xr:uid="{00000000-0002-0000-1200-000004000000}">
      <formula1>IF(A6="Google",G_年齢上限,選択肢なし)</formula1>
    </dataValidation>
    <dataValidation type="list" allowBlank="1" showInputMessage="1" showErrorMessage="1" sqref="G6:G13" xr:uid="{00000000-0002-0000-1200-000005000000}">
      <formula1>IF(A6="Google",不明有無,選択肢なし)</formula1>
    </dataValidation>
    <dataValidation type="list" allowBlank="1" showInputMessage="1" showErrorMessage="1" sqref="H6:H13" xr:uid="{00000000-0002-0000-1200-000006000000}">
      <formula1>IF(A6="Google",性別,選択肢なし)</formula1>
    </dataValidation>
    <dataValidation type="list" allowBlank="1" showInputMessage="1" showErrorMessage="1" sqref="I6:I13" xr:uid="{00000000-0002-0000-1200-000007000000}">
      <formula1>IF(A6="Google",世帯収入上限,選択肢なし)</formula1>
    </dataValidation>
    <dataValidation type="list" allowBlank="1" showInputMessage="1" showErrorMessage="1" sqref="J6:J13" xr:uid="{00000000-0002-0000-1200-000008000000}">
      <formula1>IF(A6="Google",世帯収入下限,選択肢なし)</formula1>
    </dataValidation>
    <dataValidation type="list" allowBlank="1" showInputMessage="1" showErrorMessage="1" sqref="K6:K13" xr:uid="{00000000-0002-0000-1200-000009000000}">
      <formula1>IF(A6="Google",不明有無,選択肢なし)</formula1>
    </dataValidation>
    <dataValidation type="list" allowBlank="1" showInputMessage="1" showErrorMessage="1" sqref="E6:E13" xr:uid="{00000000-0002-0000-1200-00000B000000}">
      <formula1>IF(A6="Google",G_年齢下限,選択肢なし)</formula1>
    </dataValidation>
  </dataValidations>
  <pageMargins left="0.7" right="0.7" top="0.75" bottom="0.75" header="0.3" footer="0.3"/>
  <pageSetup paperSize="9" scale="1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TargetingCopy">
                <anchor moveWithCells="1" sizeWithCells="1">
                  <from>
                    <xdr:col>0</xdr:col>
                    <xdr:colOff>342900</xdr:colOff>
                    <xdr:row>1</xdr:row>
                    <xdr:rowOff>38100</xdr:rowOff>
                  </from>
                  <to>
                    <xdr:col>1</xdr:col>
                    <xdr:colOff>1000125</xdr:colOff>
                    <xdr:row>2</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5" tint="0.79998168889431442"/>
  </sheetPr>
  <dimension ref="A1:V30"/>
  <sheetViews>
    <sheetView showGridLines="0" view="pageBreakPreview" zoomScale="85" zoomScaleNormal="100" zoomScaleSheetLayoutView="85" workbookViewId="0">
      <pane ySplit="6" topLeftCell="A7" activePane="bottomLeft" state="frozen"/>
      <selection pane="bottomLeft"/>
    </sheetView>
  </sheetViews>
  <sheetFormatPr defaultColWidth="8.88671875" defaultRowHeight="19.5" customHeight="1"/>
  <cols>
    <col min="1" max="4" width="15.77734375" style="103" customWidth="1"/>
    <col min="5" max="5" width="17.77734375" style="103" bestFit="1" customWidth="1"/>
    <col min="6" max="6" width="11.44140625" style="103" customWidth="1"/>
    <col min="7" max="8" width="30.77734375" style="103" customWidth="1"/>
    <col min="9" max="11" width="10.77734375" style="103" customWidth="1"/>
    <col min="12" max="12" width="13.77734375" style="103" customWidth="1"/>
    <col min="13" max="13" width="6.109375" style="103" customWidth="1"/>
    <col min="14" max="14" width="10.33203125" style="103" customWidth="1"/>
    <col min="15" max="15" width="13.77734375" style="103" customWidth="1"/>
    <col min="16" max="16" width="6.109375" style="103" customWidth="1"/>
    <col min="17" max="17" width="10.33203125" style="103" customWidth="1"/>
    <col min="18" max="18" width="13.77734375" style="103" customWidth="1"/>
    <col min="19" max="19" width="6.109375" style="103" customWidth="1"/>
    <col min="20" max="20" width="10.33203125" style="103" customWidth="1"/>
    <col min="21" max="16384" width="8.88671875" style="103"/>
  </cols>
  <sheetData>
    <row r="1" spans="1:22" ht="19.5" customHeight="1">
      <c r="A1" s="114" t="str">
        <f>"Ver."&amp;変更履歴!$B$1</f>
        <v>Ver.10.1</v>
      </c>
    </row>
    <row r="2" spans="1:22" ht="19.5" customHeight="1">
      <c r="A2" s="104" t="s">
        <v>514</v>
      </c>
      <c r="B2" s="104"/>
    </row>
    <row r="3" spans="1:22" ht="19.5" customHeight="1">
      <c r="A3" s="105" t="s">
        <v>335</v>
      </c>
      <c r="B3" s="106"/>
    </row>
    <row r="4" spans="1:22" ht="19.5" customHeight="1">
      <c r="A4" s="105"/>
      <c r="B4" s="106"/>
      <c r="F4" s="103" t="s">
        <v>676</v>
      </c>
    </row>
    <row r="5" spans="1:22" ht="20.100000000000001" customHeight="1">
      <c r="A5" s="521" t="s">
        <v>290</v>
      </c>
      <c r="B5" s="521" t="s">
        <v>515</v>
      </c>
      <c r="C5" s="521" t="s">
        <v>379</v>
      </c>
      <c r="D5" s="521" t="s">
        <v>318</v>
      </c>
      <c r="E5" s="521" t="s">
        <v>1398</v>
      </c>
      <c r="F5" s="521" t="s">
        <v>1397</v>
      </c>
      <c r="G5" s="521" t="s">
        <v>516</v>
      </c>
      <c r="H5" s="521" t="s">
        <v>591</v>
      </c>
      <c r="I5" s="521" t="s">
        <v>517</v>
      </c>
      <c r="J5" s="521" t="s">
        <v>518</v>
      </c>
      <c r="K5" s="521" t="s">
        <v>539</v>
      </c>
      <c r="L5" s="523" t="s">
        <v>698</v>
      </c>
      <c r="M5" s="524"/>
      <c r="N5" s="524"/>
      <c r="O5" s="524"/>
      <c r="P5" s="524"/>
      <c r="Q5" s="524"/>
      <c r="R5" s="524"/>
      <c r="S5" s="524"/>
      <c r="T5" s="525"/>
      <c r="V5" s="267" t="s">
        <v>1300</v>
      </c>
    </row>
    <row r="6" spans="1:22" ht="20.100000000000001" customHeight="1">
      <c r="A6" s="522"/>
      <c r="B6" s="522"/>
      <c r="C6" s="522"/>
      <c r="D6" s="522"/>
      <c r="E6" s="522"/>
      <c r="F6" s="522"/>
      <c r="G6" s="522"/>
      <c r="H6" s="522"/>
      <c r="I6" s="522"/>
      <c r="J6" s="522"/>
      <c r="K6" s="522"/>
      <c r="L6" s="523" t="s">
        <v>699</v>
      </c>
      <c r="M6" s="526"/>
      <c r="N6" s="525"/>
      <c r="O6" s="523" t="s">
        <v>700</v>
      </c>
      <c r="P6" s="526"/>
      <c r="Q6" s="525"/>
      <c r="R6" s="523" t="s">
        <v>701</v>
      </c>
      <c r="S6" s="526"/>
      <c r="T6" s="525"/>
      <c r="V6" s="268" t="s">
        <v>1301</v>
      </c>
    </row>
    <row r="7" spans="1:22" ht="19.5" customHeight="1">
      <c r="A7" s="82" t="s">
        <v>19</v>
      </c>
      <c r="B7" s="107" t="s">
        <v>519</v>
      </c>
      <c r="C7" s="107" t="s">
        <v>520</v>
      </c>
      <c r="D7" s="107" t="s">
        <v>186</v>
      </c>
      <c r="E7" s="80" t="s">
        <v>186</v>
      </c>
      <c r="F7" s="280"/>
      <c r="G7" s="107" t="s">
        <v>521</v>
      </c>
      <c r="H7" s="107"/>
      <c r="I7" s="107"/>
      <c r="J7" s="107"/>
      <c r="K7" s="107"/>
      <c r="L7" s="108"/>
      <c r="M7" s="109" t="s">
        <v>522</v>
      </c>
      <c r="N7" s="110"/>
      <c r="O7" s="108"/>
      <c r="P7" s="109" t="s">
        <v>522</v>
      </c>
      <c r="Q7" s="110"/>
      <c r="R7" s="108"/>
      <c r="S7" s="109" t="s">
        <v>522</v>
      </c>
      <c r="T7" s="110"/>
      <c r="V7" s="269"/>
    </row>
    <row r="8" spans="1:22" ht="19.5" customHeight="1">
      <c r="A8" s="82" t="s">
        <v>19</v>
      </c>
      <c r="B8" s="107" t="s">
        <v>519</v>
      </c>
      <c r="C8" s="107" t="s">
        <v>520</v>
      </c>
      <c r="D8" s="107" t="s">
        <v>186</v>
      </c>
      <c r="E8" s="80" t="s">
        <v>186</v>
      </c>
      <c r="F8" s="394">
        <v>0.2</v>
      </c>
      <c r="G8" s="107" t="s">
        <v>291</v>
      </c>
      <c r="H8" s="107"/>
      <c r="I8" s="107"/>
      <c r="J8" s="107"/>
      <c r="K8" s="107"/>
      <c r="L8" s="108"/>
      <c r="M8" s="109" t="s">
        <v>522</v>
      </c>
      <c r="N8" s="110"/>
      <c r="O8" s="108"/>
      <c r="P8" s="109" t="s">
        <v>522</v>
      </c>
      <c r="Q8" s="110"/>
      <c r="R8" s="108"/>
      <c r="S8" s="109" t="s">
        <v>522</v>
      </c>
      <c r="T8" s="110"/>
      <c r="V8" s="269"/>
    </row>
    <row r="9" spans="1:22" ht="19.5" customHeight="1">
      <c r="A9" s="82" t="s">
        <v>19</v>
      </c>
      <c r="B9" s="107" t="s">
        <v>519</v>
      </c>
      <c r="C9" s="107" t="s">
        <v>523</v>
      </c>
      <c r="D9" s="107" t="s">
        <v>186</v>
      </c>
      <c r="E9" s="80" t="s">
        <v>186</v>
      </c>
      <c r="F9" s="394">
        <v>-0.1</v>
      </c>
      <c r="G9" s="107"/>
      <c r="H9" s="107"/>
      <c r="I9" s="107"/>
      <c r="J9" s="107"/>
      <c r="K9" s="107"/>
      <c r="L9" s="108"/>
      <c r="M9" s="109" t="s">
        <v>522</v>
      </c>
      <c r="N9" s="110"/>
      <c r="O9" s="108"/>
      <c r="P9" s="109" t="s">
        <v>522</v>
      </c>
      <c r="Q9" s="110"/>
      <c r="R9" s="108"/>
      <c r="S9" s="109" t="s">
        <v>522</v>
      </c>
      <c r="T9" s="110"/>
      <c r="V9" s="269"/>
    </row>
    <row r="10" spans="1:22" ht="19.5" customHeight="1">
      <c r="A10" s="82" t="s">
        <v>19</v>
      </c>
      <c r="B10" s="107" t="s">
        <v>519</v>
      </c>
      <c r="C10" s="107" t="s">
        <v>520</v>
      </c>
      <c r="D10" s="107" t="s">
        <v>186</v>
      </c>
      <c r="E10" s="80" t="s">
        <v>186</v>
      </c>
      <c r="F10" s="280"/>
      <c r="G10" s="107"/>
      <c r="H10" s="107"/>
      <c r="I10" s="107" t="s">
        <v>524</v>
      </c>
      <c r="J10" s="107"/>
      <c r="K10" s="107"/>
      <c r="L10" s="108"/>
      <c r="M10" s="109" t="s">
        <v>522</v>
      </c>
      <c r="N10" s="110"/>
      <c r="O10" s="108"/>
      <c r="P10" s="109" t="s">
        <v>522</v>
      </c>
      <c r="Q10" s="110"/>
      <c r="R10" s="108"/>
      <c r="S10" s="109" t="s">
        <v>522</v>
      </c>
      <c r="T10" s="110"/>
      <c r="V10" s="269"/>
    </row>
    <row r="11" spans="1:22" ht="19.5" customHeight="1">
      <c r="A11" s="82" t="s">
        <v>19</v>
      </c>
      <c r="B11" s="107" t="s">
        <v>519</v>
      </c>
      <c r="C11" s="107" t="s">
        <v>520</v>
      </c>
      <c r="D11" s="107" t="s">
        <v>186</v>
      </c>
      <c r="E11" s="80" t="s">
        <v>186</v>
      </c>
      <c r="F11" s="280"/>
      <c r="G11" s="107"/>
      <c r="H11" s="107"/>
      <c r="I11" s="107" t="s">
        <v>525</v>
      </c>
      <c r="J11" s="107"/>
      <c r="K11" s="107"/>
      <c r="L11" s="108"/>
      <c r="M11" s="109" t="s">
        <v>522</v>
      </c>
      <c r="N11" s="110"/>
      <c r="O11" s="108"/>
      <c r="P11" s="109" t="s">
        <v>522</v>
      </c>
      <c r="Q11" s="110"/>
      <c r="R11" s="108"/>
      <c r="S11" s="109" t="s">
        <v>522</v>
      </c>
      <c r="T11" s="110"/>
      <c r="V11" s="269"/>
    </row>
    <row r="12" spans="1:22" ht="19.5" customHeight="1">
      <c r="A12" s="82" t="s">
        <v>19</v>
      </c>
      <c r="B12" s="107" t="s">
        <v>519</v>
      </c>
      <c r="C12" s="107" t="s">
        <v>520</v>
      </c>
      <c r="D12" s="107" t="s">
        <v>186</v>
      </c>
      <c r="E12" s="80" t="s">
        <v>186</v>
      </c>
      <c r="F12" s="280"/>
      <c r="G12" s="107"/>
      <c r="H12" s="107"/>
      <c r="I12" s="107"/>
      <c r="J12" s="107" t="s">
        <v>526</v>
      </c>
      <c r="K12" s="107"/>
      <c r="L12" s="108"/>
      <c r="M12" s="109" t="s">
        <v>522</v>
      </c>
      <c r="N12" s="110"/>
      <c r="O12" s="108"/>
      <c r="P12" s="109" t="s">
        <v>522</v>
      </c>
      <c r="Q12" s="110"/>
      <c r="R12" s="108"/>
      <c r="S12" s="109" t="s">
        <v>522</v>
      </c>
      <c r="T12" s="110"/>
      <c r="V12" s="269"/>
    </row>
    <row r="13" spans="1:22" ht="19.5" customHeight="1">
      <c r="A13" s="82" t="s">
        <v>19</v>
      </c>
      <c r="B13" s="107" t="s">
        <v>519</v>
      </c>
      <c r="C13" s="107" t="s">
        <v>520</v>
      </c>
      <c r="D13" s="107" t="s">
        <v>186</v>
      </c>
      <c r="E13" s="80" t="s">
        <v>186</v>
      </c>
      <c r="F13" s="280"/>
      <c r="G13" s="107"/>
      <c r="H13" s="107"/>
      <c r="I13" s="107"/>
      <c r="J13" s="107" t="s">
        <v>527</v>
      </c>
      <c r="K13" s="107"/>
      <c r="L13" s="108"/>
      <c r="M13" s="109" t="s">
        <v>522</v>
      </c>
      <c r="N13" s="110"/>
      <c r="O13" s="108"/>
      <c r="P13" s="109" t="s">
        <v>522</v>
      </c>
      <c r="Q13" s="110"/>
      <c r="R13" s="108"/>
      <c r="S13" s="109" t="s">
        <v>522</v>
      </c>
      <c r="T13" s="110"/>
      <c r="V13" s="269"/>
    </row>
    <row r="14" spans="1:22" ht="19.5" customHeight="1">
      <c r="A14" s="82" t="s">
        <v>19</v>
      </c>
      <c r="B14" s="107" t="s">
        <v>519</v>
      </c>
      <c r="C14" s="107" t="s">
        <v>520</v>
      </c>
      <c r="D14" s="107" t="s">
        <v>186</v>
      </c>
      <c r="E14" s="80" t="s">
        <v>186</v>
      </c>
      <c r="F14" s="280"/>
      <c r="G14" s="107"/>
      <c r="H14" s="107"/>
      <c r="I14" s="107"/>
      <c r="J14" s="107"/>
      <c r="K14" s="107" t="s">
        <v>541</v>
      </c>
      <c r="L14" s="108"/>
      <c r="M14" s="109" t="s">
        <v>522</v>
      </c>
      <c r="N14" s="110"/>
      <c r="O14" s="108"/>
      <c r="P14" s="109" t="s">
        <v>522</v>
      </c>
      <c r="Q14" s="110"/>
      <c r="R14" s="108"/>
      <c r="S14" s="109" t="s">
        <v>522</v>
      </c>
      <c r="T14" s="110"/>
      <c r="V14" s="269"/>
    </row>
    <row r="15" spans="1:22" ht="19.5" customHeight="1">
      <c r="A15" s="82" t="s">
        <v>19</v>
      </c>
      <c r="B15" s="107"/>
      <c r="C15" s="107"/>
      <c r="D15" s="107" t="s">
        <v>320</v>
      </c>
      <c r="E15" s="80" t="s">
        <v>186</v>
      </c>
      <c r="F15" s="280"/>
      <c r="G15" s="107"/>
      <c r="H15" s="107"/>
      <c r="I15" s="107"/>
      <c r="J15" s="107"/>
      <c r="K15" s="107"/>
      <c r="L15" s="108" t="s">
        <v>297</v>
      </c>
      <c r="M15" s="109" t="s">
        <v>522</v>
      </c>
      <c r="N15" s="110" t="s">
        <v>528</v>
      </c>
      <c r="O15" s="108"/>
      <c r="P15" s="109" t="s">
        <v>522</v>
      </c>
      <c r="Q15" s="110"/>
      <c r="R15" s="108"/>
      <c r="S15" s="109" t="s">
        <v>522</v>
      </c>
      <c r="T15" s="110"/>
      <c r="V15" s="269"/>
    </row>
    <row r="16" spans="1:22" ht="19.5" customHeight="1">
      <c r="A16" s="82" t="s">
        <v>19</v>
      </c>
      <c r="B16" s="107"/>
      <c r="C16" s="107"/>
      <c r="D16" s="107" t="s">
        <v>320</v>
      </c>
      <c r="E16" s="80" t="s">
        <v>186</v>
      </c>
      <c r="F16" s="280"/>
      <c r="G16" s="107"/>
      <c r="H16" s="107"/>
      <c r="I16" s="107"/>
      <c r="J16" s="107"/>
      <c r="K16" s="107"/>
      <c r="L16" s="108" t="s">
        <v>529</v>
      </c>
      <c r="M16" s="109" t="s">
        <v>522</v>
      </c>
      <c r="N16" s="110" t="s">
        <v>530</v>
      </c>
      <c r="O16" s="108"/>
      <c r="P16" s="109" t="s">
        <v>522</v>
      </c>
      <c r="Q16" s="110"/>
      <c r="R16" s="108"/>
      <c r="S16" s="109" t="s">
        <v>522</v>
      </c>
      <c r="T16" s="110"/>
      <c r="V16" s="269"/>
    </row>
    <row r="17" spans="1:22" ht="19.5" customHeight="1">
      <c r="A17" s="527" t="s">
        <v>531</v>
      </c>
      <c r="B17" s="528"/>
      <c r="C17" s="528"/>
      <c r="D17" s="528"/>
      <c r="E17" s="528"/>
      <c r="F17" s="528"/>
      <c r="G17" s="528"/>
      <c r="H17" s="528"/>
      <c r="I17" s="528"/>
      <c r="J17" s="528"/>
      <c r="K17" s="528"/>
      <c r="L17" s="528"/>
      <c r="M17" s="528"/>
      <c r="N17" s="528"/>
      <c r="O17" s="528"/>
      <c r="P17" s="528"/>
      <c r="Q17" s="528"/>
      <c r="R17" s="528"/>
      <c r="S17" s="528"/>
      <c r="T17" s="528"/>
      <c r="V17" s="269"/>
    </row>
    <row r="18" spans="1:22" ht="19.5" customHeight="1">
      <c r="A18" s="82" t="s">
        <v>186</v>
      </c>
      <c r="B18" s="111"/>
      <c r="C18" s="111"/>
      <c r="D18" s="107" t="s">
        <v>186</v>
      </c>
      <c r="E18" s="80" t="s">
        <v>186</v>
      </c>
      <c r="F18" s="280"/>
      <c r="G18" s="111"/>
      <c r="H18" s="111"/>
      <c r="I18" s="107" t="s">
        <v>186</v>
      </c>
      <c r="J18" s="107" t="s">
        <v>186</v>
      </c>
      <c r="K18" s="107" t="s">
        <v>186</v>
      </c>
      <c r="L18" s="108" t="s">
        <v>662</v>
      </c>
      <c r="M18" s="109" t="s">
        <v>522</v>
      </c>
      <c r="N18" s="110"/>
      <c r="O18" s="108" t="s">
        <v>662</v>
      </c>
      <c r="P18" s="109" t="s">
        <v>522</v>
      </c>
      <c r="Q18" s="110"/>
      <c r="R18" s="108" t="s">
        <v>662</v>
      </c>
      <c r="S18" s="109" t="s">
        <v>522</v>
      </c>
      <c r="T18" s="110"/>
      <c r="V18" s="269" t="str">
        <f>IF(A18="Google",IF(D18="除外",IF(C18="","Campaign negative","Negative"),""),"")</f>
        <v/>
      </c>
    </row>
    <row r="19" spans="1:22" ht="19.5" customHeight="1">
      <c r="A19" s="82" t="s">
        <v>186</v>
      </c>
      <c r="B19" s="111"/>
      <c r="C19" s="111"/>
      <c r="D19" s="107" t="s">
        <v>186</v>
      </c>
      <c r="E19" s="80" t="s">
        <v>186</v>
      </c>
      <c r="F19" s="280"/>
      <c r="G19" s="111"/>
      <c r="H19" s="111"/>
      <c r="I19" s="107" t="s">
        <v>186</v>
      </c>
      <c r="J19" s="107" t="s">
        <v>186</v>
      </c>
      <c r="K19" s="107" t="s">
        <v>186</v>
      </c>
      <c r="L19" s="108" t="s">
        <v>662</v>
      </c>
      <c r="M19" s="109" t="s">
        <v>522</v>
      </c>
      <c r="N19" s="110"/>
      <c r="O19" s="108" t="s">
        <v>662</v>
      </c>
      <c r="P19" s="109" t="s">
        <v>522</v>
      </c>
      <c r="Q19" s="110"/>
      <c r="R19" s="108" t="s">
        <v>662</v>
      </c>
      <c r="S19" s="109" t="s">
        <v>522</v>
      </c>
      <c r="T19" s="110"/>
      <c r="V19" s="269" t="str">
        <f t="shared" ref="V19:V29" si="0">IF(A19="Google",IF(D19="除外",IF(C19="","Campaign negative","Negative"),""),"")</f>
        <v/>
      </c>
    </row>
    <row r="20" spans="1:22" ht="19.5" customHeight="1">
      <c r="A20" s="82" t="s">
        <v>186</v>
      </c>
      <c r="B20" s="111"/>
      <c r="C20" s="111"/>
      <c r="D20" s="107" t="s">
        <v>186</v>
      </c>
      <c r="E20" s="80" t="s">
        <v>186</v>
      </c>
      <c r="F20" s="280"/>
      <c r="G20" s="111"/>
      <c r="H20" s="111"/>
      <c r="I20" s="107" t="s">
        <v>186</v>
      </c>
      <c r="J20" s="107" t="s">
        <v>186</v>
      </c>
      <c r="K20" s="107" t="s">
        <v>186</v>
      </c>
      <c r="L20" s="108" t="s">
        <v>662</v>
      </c>
      <c r="M20" s="109" t="s">
        <v>522</v>
      </c>
      <c r="N20" s="110"/>
      <c r="O20" s="108" t="s">
        <v>662</v>
      </c>
      <c r="P20" s="109" t="s">
        <v>522</v>
      </c>
      <c r="Q20" s="110"/>
      <c r="R20" s="108" t="s">
        <v>662</v>
      </c>
      <c r="S20" s="109" t="s">
        <v>522</v>
      </c>
      <c r="T20" s="110"/>
      <c r="V20" s="269" t="str">
        <f t="shared" si="0"/>
        <v/>
      </c>
    </row>
    <row r="21" spans="1:22" ht="19.5" customHeight="1">
      <c r="A21" s="82" t="s">
        <v>186</v>
      </c>
      <c r="B21" s="111"/>
      <c r="C21" s="111"/>
      <c r="D21" s="107" t="s">
        <v>186</v>
      </c>
      <c r="E21" s="80" t="s">
        <v>186</v>
      </c>
      <c r="F21" s="280"/>
      <c r="G21" s="111"/>
      <c r="H21" s="111"/>
      <c r="I21" s="107" t="s">
        <v>186</v>
      </c>
      <c r="J21" s="107" t="s">
        <v>186</v>
      </c>
      <c r="K21" s="107" t="s">
        <v>186</v>
      </c>
      <c r="L21" s="108" t="s">
        <v>662</v>
      </c>
      <c r="M21" s="109" t="s">
        <v>522</v>
      </c>
      <c r="N21" s="110"/>
      <c r="O21" s="108" t="s">
        <v>662</v>
      </c>
      <c r="P21" s="109" t="s">
        <v>522</v>
      </c>
      <c r="Q21" s="110"/>
      <c r="R21" s="108" t="s">
        <v>662</v>
      </c>
      <c r="S21" s="109" t="s">
        <v>522</v>
      </c>
      <c r="T21" s="110"/>
      <c r="V21" s="269" t="str">
        <f t="shared" si="0"/>
        <v/>
      </c>
    </row>
    <row r="22" spans="1:22" ht="19.5" customHeight="1">
      <c r="A22" s="82" t="s">
        <v>186</v>
      </c>
      <c r="B22" s="111"/>
      <c r="C22" s="111"/>
      <c r="D22" s="107" t="s">
        <v>186</v>
      </c>
      <c r="E22" s="80" t="s">
        <v>186</v>
      </c>
      <c r="F22" s="280"/>
      <c r="G22" s="111"/>
      <c r="H22" s="111"/>
      <c r="I22" s="107" t="s">
        <v>186</v>
      </c>
      <c r="J22" s="107" t="s">
        <v>186</v>
      </c>
      <c r="K22" s="107" t="s">
        <v>186</v>
      </c>
      <c r="L22" s="108" t="s">
        <v>662</v>
      </c>
      <c r="M22" s="109" t="s">
        <v>522</v>
      </c>
      <c r="N22" s="110"/>
      <c r="O22" s="108" t="s">
        <v>662</v>
      </c>
      <c r="P22" s="109" t="s">
        <v>522</v>
      </c>
      <c r="Q22" s="110"/>
      <c r="R22" s="108" t="s">
        <v>662</v>
      </c>
      <c r="S22" s="109" t="s">
        <v>522</v>
      </c>
      <c r="T22" s="110"/>
      <c r="V22" s="269" t="str">
        <f t="shared" si="0"/>
        <v/>
      </c>
    </row>
    <row r="23" spans="1:22" ht="19.5" customHeight="1">
      <c r="A23" s="82" t="s">
        <v>186</v>
      </c>
      <c r="B23" s="111"/>
      <c r="C23" s="111"/>
      <c r="D23" s="107" t="s">
        <v>186</v>
      </c>
      <c r="E23" s="80" t="s">
        <v>186</v>
      </c>
      <c r="F23" s="280"/>
      <c r="G23" s="111"/>
      <c r="H23" s="111"/>
      <c r="I23" s="107" t="s">
        <v>186</v>
      </c>
      <c r="J23" s="107" t="s">
        <v>186</v>
      </c>
      <c r="K23" s="107" t="s">
        <v>186</v>
      </c>
      <c r="L23" s="108" t="s">
        <v>662</v>
      </c>
      <c r="M23" s="109" t="s">
        <v>522</v>
      </c>
      <c r="N23" s="110"/>
      <c r="O23" s="108" t="s">
        <v>662</v>
      </c>
      <c r="P23" s="109" t="s">
        <v>522</v>
      </c>
      <c r="Q23" s="110"/>
      <c r="R23" s="108" t="s">
        <v>662</v>
      </c>
      <c r="S23" s="109" t="s">
        <v>522</v>
      </c>
      <c r="T23" s="110"/>
      <c r="V23" s="269" t="str">
        <f t="shared" si="0"/>
        <v/>
      </c>
    </row>
    <row r="24" spans="1:22" ht="19.5" customHeight="1">
      <c r="A24" s="82" t="s">
        <v>186</v>
      </c>
      <c r="B24" s="111"/>
      <c r="C24" s="111"/>
      <c r="D24" s="107" t="s">
        <v>186</v>
      </c>
      <c r="E24" s="80" t="s">
        <v>186</v>
      </c>
      <c r="F24" s="280"/>
      <c r="G24" s="111"/>
      <c r="H24" s="111"/>
      <c r="I24" s="107" t="s">
        <v>186</v>
      </c>
      <c r="J24" s="107" t="s">
        <v>186</v>
      </c>
      <c r="K24" s="107" t="s">
        <v>186</v>
      </c>
      <c r="L24" s="108" t="s">
        <v>662</v>
      </c>
      <c r="M24" s="109" t="s">
        <v>522</v>
      </c>
      <c r="N24" s="110"/>
      <c r="O24" s="108" t="s">
        <v>662</v>
      </c>
      <c r="P24" s="109" t="s">
        <v>522</v>
      </c>
      <c r="Q24" s="110"/>
      <c r="R24" s="108" t="s">
        <v>662</v>
      </c>
      <c r="S24" s="109" t="s">
        <v>522</v>
      </c>
      <c r="T24" s="110"/>
      <c r="V24" s="269" t="str">
        <f t="shared" si="0"/>
        <v/>
      </c>
    </row>
    <row r="25" spans="1:22" ht="19.5" customHeight="1">
      <c r="A25" s="82" t="s">
        <v>186</v>
      </c>
      <c r="B25" s="111"/>
      <c r="C25" s="111"/>
      <c r="D25" s="107" t="s">
        <v>186</v>
      </c>
      <c r="E25" s="80" t="s">
        <v>186</v>
      </c>
      <c r="F25" s="280"/>
      <c r="G25" s="111"/>
      <c r="H25" s="111"/>
      <c r="I25" s="107" t="s">
        <v>186</v>
      </c>
      <c r="J25" s="107" t="s">
        <v>186</v>
      </c>
      <c r="K25" s="107" t="s">
        <v>186</v>
      </c>
      <c r="L25" s="108" t="s">
        <v>662</v>
      </c>
      <c r="M25" s="109" t="s">
        <v>522</v>
      </c>
      <c r="N25" s="110"/>
      <c r="O25" s="108" t="s">
        <v>662</v>
      </c>
      <c r="P25" s="109" t="s">
        <v>522</v>
      </c>
      <c r="Q25" s="110"/>
      <c r="R25" s="108" t="s">
        <v>662</v>
      </c>
      <c r="S25" s="109" t="s">
        <v>522</v>
      </c>
      <c r="T25" s="110"/>
      <c r="V25" s="269" t="str">
        <f t="shared" si="0"/>
        <v/>
      </c>
    </row>
    <row r="26" spans="1:22" ht="19.5" customHeight="1">
      <c r="A26" s="82" t="s">
        <v>186</v>
      </c>
      <c r="B26" s="111"/>
      <c r="C26" s="111"/>
      <c r="D26" s="107" t="s">
        <v>186</v>
      </c>
      <c r="E26" s="80" t="s">
        <v>186</v>
      </c>
      <c r="F26" s="280"/>
      <c r="G26" s="111"/>
      <c r="H26" s="111"/>
      <c r="I26" s="107" t="s">
        <v>186</v>
      </c>
      <c r="J26" s="107" t="s">
        <v>186</v>
      </c>
      <c r="K26" s="107" t="s">
        <v>186</v>
      </c>
      <c r="L26" s="108" t="s">
        <v>662</v>
      </c>
      <c r="M26" s="109" t="s">
        <v>522</v>
      </c>
      <c r="N26" s="110"/>
      <c r="O26" s="108" t="s">
        <v>662</v>
      </c>
      <c r="P26" s="109" t="s">
        <v>522</v>
      </c>
      <c r="Q26" s="110"/>
      <c r="R26" s="108" t="s">
        <v>662</v>
      </c>
      <c r="S26" s="109" t="s">
        <v>522</v>
      </c>
      <c r="T26" s="110"/>
      <c r="V26" s="269" t="str">
        <f t="shared" si="0"/>
        <v/>
      </c>
    </row>
    <row r="27" spans="1:22" ht="19.5" customHeight="1">
      <c r="A27" s="82" t="s">
        <v>186</v>
      </c>
      <c r="B27" s="111"/>
      <c r="C27" s="111"/>
      <c r="D27" s="107" t="s">
        <v>186</v>
      </c>
      <c r="E27" s="80" t="s">
        <v>186</v>
      </c>
      <c r="F27" s="280"/>
      <c r="G27" s="111"/>
      <c r="H27" s="111"/>
      <c r="I27" s="107" t="s">
        <v>186</v>
      </c>
      <c r="J27" s="107" t="s">
        <v>186</v>
      </c>
      <c r="K27" s="107" t="s">
        <v>186</v>
      </c>
      <c r="L27" s="108" t="s">
        <v>662</v>
      </c>
      <c r="M27" s="109" t="s">
        <v>522</v>
      </c>
      <c r="N27" s="110"/>
      <c r="O27" s="108" t="s">
        <v>662</v>
      </c>
      <c r="P27" s="109" t="s">
        <v>522</v>
      </c>
      <c r="Q27" s="110"/>
      <c r="R27" s="108" t="s">
        <v>662</v>
      </c>
      <c r="S27" s="109" t="s">
        <v>522</v>
      </c>
      <c r="T27" s="110"/>
      <c r="V27" s="269" t="str">
        <f t="shared" si="0"/>
        <v/>
      </c>
    </row>
    <row r="28" spans="1:22" ht="19.5" customHeight="1">
      <c r="A28" s="82" t="s">
        <v>186</v>
      </c>
      <c r="B28" s="111"/>
      <c r="C28" s="111"/>
      <c r="D28" s="107" t="s">
        <v>186</v>
      </c>
      <c r="E28" s="80" t="s">
        <v>186</v>
      </c>
      <c r="F28" s="280"/>
      <c r="G28" s="111"/>
      <c r="H28" s="111"/>
      <c r="I28" s="107" t="s">
        <v>186</v>
      </c>
      <c r="J28" s="107" t="s">
        <v>186</v>
      </c>
      <c r="K28" s="107" t="s">
        <v>186</v>
      </c>
      <c r="L28" s="108" t="s">
        <v>662</v>
      </c>
      <c r="M28" s="109" t="s">
        <v>522</v>
      </c>
      <c r="N28" s="110"/>
      <c r="O28" s="108" t="s">
        <v>662</v>
      </c>
      <c r="P28" s="109" t="s">
        <v>522</v>
      </c>
      <c r="Q28" s="110"/>
      <c r="R28" s="108" t="s">
        <v>662</v>
      </c>
      <c r="S28" s="109" t="s">
        <v>522</v>
      </c>
      <c r="T28" s="110"/>
      <c r="V28" s="269" t="str">
        <f t="shared" si="0"/>
        <v/>
      </c>
    </row>
    <row r="29" spans="1:22" ht="19.5" customHeight="1">
      <c r="A29" s="82" t="s">
        <v>186</v>
      </c>
      <c r="B29" s="111"/>
      <c r="C29" s="111"/>
      <c r="D29" s="107" t="s">
        <v>186</v>
      </c>
      <c r="E29" s="80" t="s">
        <v>186</v>
      </c>
      <c r="F29" s="280"/>
      <c r="G29" s="111"/>
      <c r="H29" s="111"/>
      <c r="I29" s="107" t="s">
        <v>186</v>
      </c>
      <c r="J29" s="107" t="s">
        <v>186</v>
      </c>
      <c r="K29" s="107" t="s">
        <v>186</v>
      </c>
      <c r="L29" s="108" t="s">
        <v>662</v>
      </c>
      <c r="M29" s="109" t="s">
        <v>522</v>
      </c>
      <c r="N29" s="110"/>
      <c r="O29" s="108" t="s">
        <v>662</v>
      </c>
      <c r="P29" s="109" t="s">
        <v>522</v>
      </c>
      <c r="Q29" s="110"/>
      <c r="R29" s="108" t="s">
        <v>662</v>
      </c>
      <c r="S29" s="109" t="s">
        <v>522</v>
      </c>
      <c r="T29" s="110"/>
      <c r="V29" s="269" t="str">
        <f t="shared" si="0"/>
        <v/>
      </c>
    </row>
    <row r="30" spans="1:22" ht="19.5" customHeight="1">
      <c r="V30" s="269" t="str">
        <f t="shared" ref="V30" si="1">IF(I30="Google",IF(L30="除外",IF(K30="","Campaign negative","Negative"),""),"")</f>
        <v/>
      </c>
    </row>
  </sheetData>
  <mergeCells count="16">
    <mergeCell ref="K5:K6"/>
    <mergeCell ref="L5:T5"/>
    <mergeCell ref="A17:T17"/>
    <mergeCell ref="L6:N6"/>
    <mergeCell ref="O6:Q6"/>
    <mergeCell ref="R6:T6"/>
    <mergeCell ref="A5:A6"/>
    <mergeCell ref="B5:B6"/>
    <mergeCell ref="C5:C6"/>
    <mergeCell ref="D5:D6"/>
    <mergeCell ref="F5:F6"/>
    <mergeCell ref="G5:G6"/>
    <mergeCell ref="H5:H6"/>
    <mergeCell ref="I5:I6"/>
    <mergeCell ref="J5:J6"/>
    <mergeCell ref="E5:E6"/>
  </mergeCells>
  <phoneticPr fontId="20"/>
  <conditionalFormatting sqref="H18:K29 H7:K16">
    <cfRule type="expression" dxfId="13" priority="1">
      <formula>$A7="Yahoo!"</formula>
    </cfRule>
  </conditionalFormatting>
  <dataValidations count="7">
    <dataValidation type="list" allowBlank="1" showInputMessage="1" sqref="A7:A16 A18:A29" xr:uid="{00000000-0002-0000-1300-000000000000}">
      <formula1>媒体</formula1>
    </dataValidation>
    <dataValidation type="list" allowBlank="1" showInputMessage="1" sqref="D7:D16 D18:D29" xr:uid="{00000000-0002-0000-1300-000001000000}">
      <formula1>配信</formula1>
    </dataValidation>
    <dataValidation type="list" allowBlank="1" showInputMessage="1" showErrorMessage="1" sqref="E18:E29 E7:E16" xr:uid="{00000000-0002-0000-1300-000002000000}">
      <formula1>入札単価調整比</formula1>
    </dataValidation>
    <dataValidation type="list" allowBlank="1" showInputMessage="1" sqref="I18:I29 I7:I16" xr:uid="{00000000-0002-0000-1300-000003000000}">
      <formula1>G_年齢</formula1>
    </dataValidation>
    <dataValidation type="list" allowBlank="1" showInputMessage="1" sqref="J18:J29 J7:J16" xr:uid="{00000000-0002-0000-1300-000004000000}">
      <formula1>性別</formula1>
    </dataValidation>
    <dataValidation type="list" allowBlank="1" showInputMessage="1" sqref="K18:K29 K7:K16" xr:uid="{00000000-0002-0000-1300-000005000000}">
      <formula1>世帯収入</formula1>
    </dataValidation>
    <dataValidation type="list" allowBlank="1" showInputMessage="1" showErrorMessage="1" sqref="L7:L16 R7:R16 R18:R29 O18:O29 O7:O16 L18:L29" xr:uid="{00000000-0002-0000-1300-000006000000}">
      <formula1>IF($A7="Google",動的ターゲット,IF($A7="Yahoo!",ターゲット設定,選択肢なし))</formula1>
    </dataValidation>
  </dataValidations>
  <pageMargins left="0.7" right="0.7" top="0.75" bottom="0.75" header="0.3" footer="0.3"/>
  <pageSetup paperSize="9" scale="25"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tabColor theme="5" tint="0.79998168889431442"/>
  </sheetPr>
  <dimension ref="A1:M81"/>
  <sheetViews>
    <sheetView view="pageBreakPreview" zoomScale="85" zoomScaleNormal="70" zoomScaleSheetLayoutView="85" workbookViewId="0"/>
  </sheetViews>
  <sheetFormatPr defaultColWidth="8.88671875" defaultRowHeight="19.5" customHeight="1"/>
  <cols>
    <col min="1" max="1" width="8.88671875" style="1"/>
    <col min="2" max="2" width="7.77734375" style="1" customWidth="1"/>
    <col min="3" max="3" width="15.77734375" style="1" customWidth="1"/>
    <col min="4" max="4" width="2.77734375" style="1" customWidth="1"/>
    <col min="5" max="5" width="5.77734375" style="1" customWidth="1"/>
    <col min="6" max="6" width="60.77734375" style="1" customWidth="1"/>
    <col min="7" max="7" width="8.88671875" style="1"/>
    <col min="8" max="8" width="7.77734375" style="1" customWidth="1"/>
    <col min="9" max="9" width="15.77734375" style="1" customWidth="1"/>
    <col min="10" max="10" width="2.77734375" style="1" customWidth="1"/>
    <col min="11" max="11" width="5.77734375" style="1" customWidth="1"/>
    <col min="12" max="12" width="60.77734375" style="1" customWidth="1"/>
    <col min="13" max="16384" width="8.88671875" style="1"/>
  </cols>
  <sheetData>
    <row r="1" spans="1:13" ht="19.5" customHeight="1">
      <c r="A1" s="114" t="str">
        <f>"Ver."&amp;変更履歴!$B$1</f>
        <v>Ver.10.1</v>
      </c>
      <c r="B1" s="2"/>
      <c r="H1" s="2"/>
    </row>
    <row r="2" spans="1:13" ht="19.5" customHeight="1">
      <c r="A2" s="8" t="s">
        <v>41</v>
      </c>
      <c r="H2" s="2"/>
      <c r="L2" s="9"/>
    </row>
    <row r="3" spans="1:13" ht="19.5" customHeight="1">
      <c r="H3" s="2"/>
      <c r="L3" s="10" t="s">
        <v>36</v>
      </c>
    </row>
    <row r="4" spans="1:13" ht="19.5" customHeight="1">
      <c r="A4" s="1" t="s">
        <v>42</v>
      </c>
      <c r="H4" s="2"/>
    </row>
    <row r="5" spans="1:13" ht="19.5" customHeight="1">
      <c r="A5" s="43"/>
      <c r="B5" s="529" t="s">
        <v>180</v>
      </c>
      <c r="C5" s="529"/>
      <c r="D5" s="529"/>
      <c r="E5" s="529"/>
      <c r="F5" s="529"/>
      <c r="G5" s="529"/>
      <c r="H5" s="529"/>
      <c r="I5" s="529"/>
      <c r="J5" s="529"/>
      <c r="K5" s="529"/>
      <c r="L5" s="529"/>
      <c r="M5" s="43"/>
    </row>
    <row r="6" spans="1:13" ht="19.5" customHeight="1">
      <c r="B6" s="42"/>
      <c r="C6" s="42"/>
      <c r="D6" s="42"/>
      <c r="E6" s="42"/>
      <c r="F6" s="42"/>
      <c r="G6" s="42"/>
      <c r="H6" s="42"/>
      <c r="I6" s="42"/>
      <c r="J6" s="42"/>
      <c r="K6" s="42"/>
      <c r="L6" s="42"/>
    </row>
    <row r="7" spans="1:13" ht="19.5" customHeight="1">
      <c r="H7" s="2"/>
    </row>
    <row r="8" spans="1:13" ht="19.5" customHeight="1">
      <c r="C8" s="1" t="s">
        <v>43</v>
      </c>
      <c r="I8" s="1" t="s">
        <v>586</v>
      </c>
    </row>
    <row r="9" spans="1:13" ht="19.5" customHeight="1">
      <c r="B9" s="11">
        <v>1</v>
      </c>
      <c r="C9" s="12" t="s">
        <v>45</v>
      </c>
      <c r="D9" s="23"/>
      <c r="E9" s="24" t="e">
        <f>IF(INDEX(拡張テキスト!$A:$AA,MATCH($C$8&amp;$B9,拡張テキスト!$AB:$AB,0),MATCH("タイトル1",拡張テキスト!$5:$5,0))="","タイトル1",INDEX(拡張テキスト!$A:$AA,MATCH($C$8&amp;$B9,拡張テキスト!$AB:$AB,0),MATCH("タイトル1",拡張テキスト!$5:$5,0)))
&amp;" - "&amp;IF(INDEX(拡張テキスト!$A:$AA,MATCH($C$8&amp;$B9,拡張テキスト!$AB:$AB,0),MATCH("タイトル2",拡張テキスト!$5:$5,0))="","タイトル2",INDEX(拡張テキスト!$A:$AA,MATCH($C$8&amp;$B9,拡張テキスト!$AB:$AB,0),MATCH("タイトル2",拡張テキスト!$5:$5,0)))</f>
        <v>#N/A</v>
      </c>
      <c r="F9" s="25"/>
      <c r="H9" s="11">
        <v>1</v>
      </c>
      <c r="I9" s="12" t="s">
        <v>45</v>
      </c>
      <c r="J9" s="23"/>
      <c r="K9" s="24" t="e">
        <f>IF(INDEX(拡張テキスト!$A:$AA,MATCH($I$8&amp;$H9,拡張テキスト!$AB:$AB,0),MATCH("タイトル1",拡張テキスト!$5:$5,0))="","タイトル1",INDEX(拡張テキスト!$A:$AA,MATCH($I$8&amp;$H9,拡張テキスト!$AB:$AB,0),MATCH("タイトル1",拡張テキスト!$5:$5,0)))
&amp;" - "&amp;IF(INDEX(拡張テキスト!$A:$AA,MATCH($I$8&amp;$H9,拡張テキスト!$AB:$AB,0),MATCH("タイトル2",拡張テキスト!$5:$5,0))="","タイトル2",INDEX(拡張テキスト!$A:$AA,MATCH($I$8&amp;$H9,拡張テキスト!$AB:$AB,0),MATCH("タイトル2",拡張テキスト!$5:$5,0)))</f>
        <v>#N/A</v>
      </c>
      <c r="L9" s="26"/>
    </row>
    <row r="10" spans="1:13" ht="19.5" customHeight="1">
      <c r="B10" s="13"/>
      <c r="C10" s="14" t="s">
        <v>48</v>
      </c>
      <c r="D10" s="27"/>
      <c r="E10" s="28" t="s">
        <v>37</v>
      </c>
      <c r="F10" s="15" t="e">
        <f>IF(INDEX(拡張テキスト!$A:$AA,MATCH($C$8&amp;$B9,拡張テキスト!$AB:$AB,0),MATCH("Google：パス
Yahoo：ディレクトリ",拡張テキスト!$5:$5,0))="","Google：パス
Yahoo：ディレクトリ",INDEX(拡張テキスト!$A:$AA,MATCH($C$8&amp;$B9,拡張テキスト!$AB:$AB,0),MATCH("Google：パス
Yahoo：ディレクトリ",拡張テキスト!$5:$5,0)))</f>
        <v>#N/A</v>
      </c>
      <c r="H10" s="13"/>
      <c r="I10" s="13" t="s">
        <v>49</v>
      </c>
      <c r="J10" s="27"/>
      <c r="K10" s="31" t="s">
        <v>513</v>
      </c>
      <c r="L10" s="15" t="e">
        <f>IF(INDEX(拡張テキスト!$A:$AA,MATCH($I$8&amp;$H9,拡張テキスト!$AB:$AB,0),MATCH("Google：パス
Yahoo：ディレクトリ",拡張テキスト!$5:$5,0))="","Google：パス
Yahoo：ディレクトリ",INDEX(拡張テキスト!$A:$AA,MATCH($I$8&amp;$H9,拡張テキスト!$AB:$AB,0),MATCH("Google：パス
Yahoo：ディレクトリ",拡張テキスト!$5:$5,0)))</f>
        <v>#N/A</v>
      </c>
    </row>
    <row r="11" spans="1:13" ht="19.5" customHeight="1">
      <c r="B11" s="13"/>
      <c r="C11" s="14" t="s">
        <v>10</v>
      </c>
      <c r="D11" s="27"/>
      <c r="E11" s="16" t="e">
        <f>IF(INDEX(拡張テキスト!$A:$AA,MATCH($C$8&amp;$B9,拡張テキスト!$AB:$AB,0),MATCH("説明文1
※動的検索広告の場合は説明文のみ",拡張テキスト!$5:$5,0))="","説明文",INDEX(拡張テキスト!$A:$AA,MATCH($C$8&amp;$B9,拡張テキスト!$AB:$AB,0),MATCH("説明文1
※動的検索広告の場合は説明文のみ",拡張テキスト!$5:$5,0)))</f>
        <v>#N/A</v>
      </c>
      <c r="F11" s="18"/>
      <c r="H11" s="13"/>
      <c r="I11" s="17" t="s">
        <v>10</v>
      </c>
      <c r="J11" s="27"/>
      <c r="K11" s="16" t="e">
        <f>IF(INDEX(拡張テキスト!$A:$AA,MATCH($I$8&amp;$H9,拡張テキスト!$AB:$AB,0),MATCH("説明文1
※動的検索広告の場合は説明文のみ",拡張テキスト!$5:$5,0))="","説明文",INDEX(拡張テキスト!$A:$AA,MATCH($I$8&amp;$H9,拡張テキスト!$AB:$AB,0),MATCH("説明文1
※動的検索広告の場合は説明文のみ",拡張テキスト!$5:$5,0)))</f>
        <v>#N/A</v>
      </c>
      <c r="L11" s="18"/>
    </row>
    <row r="12" spans="1:13" ht="19.5" customHeight="1">
      <c r="B12" s="13"/>
      <c r="C12" s="14" t="s">
        <v>38</v>
      </c>
      <c r="D12" s="27"/>
      <c r="E12" s="16" t="str">
        <f>IF('広告表示オプション（共有）'!$B$17="",C12,'広告表示オプション（共有）'!$B$17)&amp;"・"&amp;IF('広告表示オプション（共有）'!$B$18="",C12,'広告表示オプション（共有）'!$B$18)&amp;"・"&amp;IF('広告表示オプション（共有）'!$B$19="",C12,'広告表示オプション（共有）'!$B$19)&amp;"・"&amp;IF('広告表示オプション（共有）'!$B$20="",C12,'広告表示オプション（共有）'!$B$20)</f>
        <v>コールアウト・コールアウト・コールアウト・コールアウト</v>
      </c>
      <c r="F12" s="15"/>
      <c r="H12" s="13"/>
      <c r="I12" s="17" t="s">
        <v>39</v>
      </c>
      <c r="J12" s="27"/>
      <c r="K12" s="16" t="str">
        <f>IF('広告表示オプション（共有）'!$B$17="",I12,'広告表示オプション（共有）'!$B$17)&amp;"・"&amp;IF('広告表示オプション（共有）'!$B$18="",I12,'広告表示オプション（共有）'!$B$18)&amp;"・"&amp;IF('広告表示オプション（共有）'!$B$19="",I12,'広告表示オプション（共有）'!$B$19)&amp;"・"&amp;IF('広告表示オプション（共有）'!$B$20="",I12,'広告表示オプション（共有）'!$B$20)</f>
        <v>テキスト補足オプション・テキスト補足オプション・テキスト補足オプション・テキスト補足オプション</v>
      </c>
      <c r="L12" s="18"/>
    </row>
    <row r="13" spans="1:13" ht="19.5" customHeight="1">
      <c r="B13" s="13"/>
      <c r="C13" s="14" t="s">
        <v>40</v>
      </c>
      <c r="D13" s="27"/>
      <c r="E13" s="16" t="str">
        <f>IF('広告表示オプション（共有）'!$A$28="",C13,'広告表示オプション（共有）'!$A$28)&amp;"："&amp;IF('広告表示オプション（共有）'!$B$28="",C13,'広告表示オプション（共有）'!$B$28)&amp;"・"&amp;IF('広告表示オプション（共有）'!$B$29="",C13,'広告表示オプション（共有）'!$B$29)&amp;"・"&amp;IF('広告表示オプション（共有）'!$B$30="",C13,'広告表示オプション（共有）'!$B$30)&amp;"・"&amp;IF('広告表示オプション（共有）'!$B$31="",C13,'広告表示オプション（共有）'!$B$31)</f>
        <v>入力規則：構造化スニペット・構造化スニペット・構造化スニペット・構造化スニペット</v>
      </c>
      <c r="F13" s="15"/>
      <c r="H13" s="13"/>
      <c r="I13" s="17" t="s">
        <v>585</v>
      </c>
      <c r="J13" s="27"/>
      <c r="K13" s="140" t="str">
        <f>IF('広告表示オプション（共有）'!$A$28="",I13,'広告表示オプション（共有）'!$A$28)&amp;"："&amp;IF('広告表示オプション（共有）'!$B$28="",I13,'広告表示オプション（共有）'!$B$28)&amp;"・"&amp;IF('広告表示オプション（共有）'!$B$29="",I13,'広告表示オプション（共有）'!$B$29)&amp;"・"&amp;IF('広告表示オプション（共有）'!$B$30="",I13,'広告表示オプション（共有）'!$B$30)&amp;"・"&amp;IF('広告表示オプション（共有）'!$B$31="",I13,'広告表示オプション（共有）'!$B$31)</f>
        <v>入力規則：カテゴリ補足オプション・カテゴリ補足オプション・カテゴリ補足オプション・カテゴリ補足オプション</v>
      </c>
      <c r="L13" s="139"/>
    </row>
    <row r="14" spans="1:13" ht="19.5" customHeight="1">
      <c r="B14" s="19"/>
      <c r="C14" s="20" t="s">
        <v>283</v>
      </c>
      <c r="D14" s="29"/>
      <c r="E14" s="22" t="str">
        <f>IF('広告表示オプション（共有）'!$B6="",C14,'広告表示オプション（共有）'!$B6)&amp;" - "&amp;IF('広告表示オプション（共有）'!$B$7="",C14,'広告表示オプション（共有）'!$B$7)&amp;" - "&amp;IF('広告表示オプション（共有）'!$B$8="",C14,'広告表示オプション（共有）'!$B$8)&amp;" - "&amp;IF('広告表示オプション（共有）'!$B$9="",C14,'広告表示オプション（共有）'!$B$9)</f>
        <v>サイトリンク - サイトリンク - サイトリンク - サイトリンク</v>
      </c>
      <c r="F14" s="30"/>
      <c r="H14" s="19"/>
      <c r="I14" s="20" t="s">
        <v>584</v>
      </c>
      <c r="J14" s="29"/>
      <c r="K14" s="22" t="str">
        <f>IF('広告表示オプション（共有）'!$B$6="",I14,'広告表示オプション（共有）'!$B$6)&amp;" - "&amp;IF('広告表示オプション（共有）'!$B$7="",I14,'広告表示オプション（共有）'!$B$7)&amp;" - "&amp;IF('広告表示オプション（共有）'!$B$8="",I14,'広告表示オプション（共有）'!$B$8)&amp;" - "&amp;IF('広告表示オプション（共有）'!$B$9="",I14,'広告表示オプション（共有）'!$B$9)</f>
        <v>クイックリンク - クイックリンク - クイックリンク - クイックリンク</v>
      </c>
      <c r="L14" s="138"/>
    </row>
    <row r="15" spans="1:13" ht="19.5" customHeight="1">
      <c r="F15"/>
    </row>
    <row r="16" spans="1:13" ht="19.5" customHeight="1">
      <c r="B16" s="11">
        <v>2</v>
      </c>
      <c r="C16" s="12" t="s">
        <v>44</v>
      </c>
      <c r="D16" s="23"/>
      <c r="E16" s="24" t="e">
        <f>IF(INDEX(拡張テキスト!$A:$AA,MATCH($C$8&amp;$B16,拡張テキスト!$AB:$AB,0),MATCH("タイトル1",拡張テキスト!$5:$5,0))="","タイトル1",INDEX(拡張テキスト!$A:$AA,MATCH($C$8&amp;$B16,拡張テキスト!$AB:$AB,0),MATCH("タイトル1",拡張テキスト!$5:$5,0)))
&amp;" - "&amp;IF(INDEX(拡張テキスト!$A:$AA,MATCH($C$8&amp;$B16,拡張テキスト!$AB:$AB,0),MATCH("タイトル2",拡張テキスト!$5:$5,0))="","タイトル2",INDEX(拡張テキスト!$A:$AA,MATCH($C$8&amp;$B16,拡張テキスト!$AB:$AB,0),MATCH("タイトル2",拡張テキスト!$5:$5,0)))</f>
        <v>#N/A</v>
      </c>
      <c r="F16" s="25"/>
      <c r="H16" s="11">
        <v>2</v>
      </c>
      <c r="I16" s="12" t="s">
        <v>44</v>
      </c>
      <c r="J16" s="23"/>
      <c r="K16" s="24" t="e">
        <f>IF(INDEX(拡張テキスト!$A:$AA,MATCH($I$8&amp;$H16,拡張テキスト!$AB:$AB,0),MATCH("タイトル1",拡張テキスト!$5:$5,0))="","タイトル1",INDEX(拡張テキスト!$A:$AA,MATCH($I$8&amp;$H16,拡張テキスト!$AB:$AB,0),MATCH("タイトル1",拡張テキスト!$5:$5,0)))
&amp;" - "&amp;IF(INDEX(拡張テキスト!$A:$AA,MATCH($I$8&amp;$H16,拡張テキスト!$AB:$AB,0),MATCH("タイトル2",拡張テキスト!$5:$5,0))="","タイトル2",INDEX(拡張テキスト!$A:$AA,MATCH($I$8&amp;$H16,拡張テキスト!$AB:$AB,0),MATCH("タイトル2",拡張テキスト!$5:$5,0)))</f>
        <v>#N/A</v>
      </c>
      <c r="L16" s="26"/>
    </row>
    <row r="17" spans="2:12" ht="19.5" customHeight="1">
      <c r="B17" s="13"/>
      <c r="C17" s="14" t="s">
        <v>48</v>
      </c>
      <c r="D17" s="27"/>
      <c r="E17" s="28" t="s">
        <v>513</v>
      </c>
      <c r="F17" s="15" t="e">
        <f>IF(INDEX(拡張テキスト!$A:$AA,MATCH($C$8&amp;$B16,拡張テキスト!$AB:$AB,0),MATCH("Google：パス
Yahoo：ディレクトリ",拡張テキスト!$5:$5,0))="","Google：パス
Yahoo：ディレクトリ",INDEX(拡張テキスト!$A:$AA,MATCH($C$8&amp;$B16,拡張テキスト!$AB:$AB,0),MATCH("Google：パス
Yahoo：ディレクトリ",拡張テキスト!$5:$5,0)))</f>
        <v>#N/A</v>
      </c>
      <c r="H17" s="13"/>
      <c r="I17" s="13" t="s">
        <v>48</v>
      </c>
      <c r="J17" s="27"/>
      <c r="K17" s="31" t="s">
        <v>513</v>
      </c>
      <c r="L17" s="15" t="e">
        <f>IF(INDEX(拡張テキスト!$A:$AA,MATCH($I$8&amp;$H16,拡張テキスト!$AB:$AB,0),MATCH("Google：パス
Yahoo：ディレクトリ",拡張テキスト!$5:$5,0))="","Google：パス
Yahoo：ディレクトリ",INDEX(拡張テキスト!$A:$AA,MATCH($I$8&amp;$H16,拡張テキスト!$AB:$AB,0),MATCH("Google：パス
Yahoo：ディレクトリ",拡張テキスト!$5:$5,0)))</f>
        <v>#N/A</v>
      </c>
    </row>
    <row r="18" spans="2:12" ht="19.5" customHeight="1">
      <c r="B18" s="13"/>
      <c r="C18" s="14" t="s">
        <v>10</v>
      </c>
      <c r="D18" s="27"/>
      <c r="E18" s="16" t="e">
        <f>IF(INDEX(拡張テキスト!$A:$AA,MATCH($C$8&amp;$B16,拡張テキスト!$AB:$AB,0),MATCH("説明文1
※動的検索広告の場合は説明文のみ",拡張テキスト!$5:$5,0))="","説明文",INDEX(拡張テキスト!$A:$AA,MATCH($C$8&amp;$B16,拡張テキスト!$AB:$AB,0),MATCH("説明文1
※動的検索広告の場合は説明文のみ",拡張テキスト!$5:$5,0)))</f>
        <v>#N/A</v>
      </c>
      <c r="F18" s="18"/>
      <c r="H18" s="13"/>
      <c r="I18" s="17" t="s">
        <v>10</v>
      </c>
      <c r="J18" s="27"/>
      <c r="K18" s="16" t="e">
        <f>IF(INDEX(拡張テキスト!$A:$AA,MATCH($I$8&amp;$H16,拡張テキスト!$AB:$AB,0),MATCH("説明文1
※動的検索広告の場合は説明文のみ",拡張テキスト!$5:$5,0))="","説明文",INDEX(拡張テキスト!$A:$AA,MATCH($I$8&amp;$H16,拡張テキスト!$AB:$AB,0),MATCH("説明文1
※動的検索広告の場合は説明文のみ",拡張テキスト!$5:$5,0)))</f>
        <v>#N/A</v>
      </c>
      <c r="L18" s="18"/>
    </row>
    <row r="19" spans="2:12" ht="19.5" customHeight="1">
      <c r="B19" s="13"/>
      <c r="C19" s="14" t="s">
        <v>50</v>
      </c>
      <c r="D19" s="27"/>
      <c r="E19" s="16" t="str">
        <f>IF('広告表示オプション（共有）'!$B$17="",C19,'広告表示オプション（共有）'!$B$17)&amp;"・"&amp;IF('広告表示オプション（共有）'!$B$18="",C19,'広告表示オプション（共有）'!$B$18)&amp;"・"&amp;IF('広告表示オプション（共有）'!$B$19="",C19,'広告表示オプション（共有）'!$B$19)&amp;"・"&amp;IF('広告表示オプション（共有）'!$B$20="",C19,'広告表示オプション（共有）'!$B$20)</f>
        <v>コールアウト・コールアウト・コールアウト・コールアウト</v>
      </c>
      <c r="F19" s="15"/>
      <c r="H19" s="13"/>
      <c r="I19" s="17" t="s">
        <v>39</v>
      </c>
      <c r="J19" s="27"/>
      <c r="K19" s="16" t="str">
        <f>IF('広告表示オプション（共有）'!$B$17="",I19,'広告表示オプション（共有）'!$B$17)&amp;"・"&amp;IF('広告表示オプション（共有）'!$B$18="",I19,'広告表示オプション（共有）'!$B$18)&amp;"・"&amp;IF('広告表示オプション（共有）'!$B$19="",I19,'広告表示オプション（共有）'!$B$19)&amp;"・"&amp;IF('広告表示オプション（共有）'!$B$20="",I19,'広告表示オプション（共有）'!$B$20)</f>
        <v>テキスト補足オプション・テキスト補足オプション・テキスト補足オプション・テキスト補足オプション</v>
      </c>
      <c r="L19" s="18"/>
    </row>
    <row r="20" spans="2:12" ht="19.5" customHeight="1">
      <c r="B20" s="13"/>
      <c r="C20" s="14" t="s">
        <v>40</v>
      </c>
      <c r="D20" s="27"/>
      <c r="E20" s="16" t="str">
        <f>IF('広告表示オプション（共有）'!$A$28="",C20,'広告表示オプション（共有）'!$A$28)&amp;"："&amp;IF('広告表示オプション（共有）'!$B$28="",C20,'広告表示オプション（共有）'!$B$28)&amp;"・"&amp;IF('広告表示オプション（共有）'!$B$29="",C20,'広告表示オプション（共有）'!$B$29)&amp;"・"&amp;IF('広告表示オプション（共有）'!$B$30="",C20,'広告表示オプション（共有）'!$B$30)&amp;"・"&amp;IF('広告表示オプション（共有）'!$B$31="",C20,'広告表示オプション（共有）'!$B$31)</f>
        <v>入力規則：構造化スニペット・構造化スニペット・構造化スニペット・構造化スニペット</v>
      </c>
      <c r="F20" s="15"/>
      <c r="H20" s="13"/>
      <c r="I20" s="17" t="s">
        <v>585</v>
      </c>
      <c r="J20" s="27"/>
      <c r="K20" s="140" t="str">
        <f>IF('広告表示オプション（共有）'!$A$28="",I20,'広告表示オプション（共有）'!$A$28)&amp;"："&amp;IF('広告表示オプション（共有）'!$B$28="",I20,'広告表示オプション（共有）'!$B$28)&amp;"・"&amp;IF('広告表示オプション（共有）'!$B$29="",I20,'広告表示オプション（共有）'!$B$29)&amp;"・"&amp;IF('広告表示オプション（共有）'!$B$30="",I20,'広告表示オプション（共有）'!$B$30)&amp;"・"&amp;IF('広告表示オプション（共有）'!$B$31="",I20,'広告表示オプション（共有）'!$B$31)</f>
        <v>入力規則：カテゴリ補足オプション・カテゴリ補足オプション・カテゴリ補足オプション・カテゴリ補足オプション</v>
      </c>
      <c r="L20" s="139"/>
    </row>
    <row r="21" spans="2:12" ht="19.5" customHeight="1">
      <c r="B21" s="19"/>
      <c r="C21" s="20" t="s">
        <v>51</v>
      </c>
      <c r="D21" s="29"/>
      <c r="E21" s="22" t="str">
        <f>IF('広告表示オプション（共有）'!$B13="",C21,'広告表示オプション（共有）'!$B13)&amp;" - "&amp;IF('広告表示オプション（共有）'!$B$7="",C21,'広告表示オプション（共有）'!$B$7)&amp;" - "&amp;IF('広告表示オプション（共有）'!$B$8="",C21,'広告表示オプション（共有）'!$B$8)&amp;" - "&amp;IF('広告表示オプション（共有）'!$B$9="",C21,'広告表示オプション（共有）'!$B$9)</f>
        <v>サイトリンク - サイトリンク - サイトリンク - サイトリンク</v>
      </c>
      <c r="F21" s="30"/>
      <c r="H21" s="19"/>
      <c r="I21" s="20" t="s">
        <v>584</v>
      </c>
      <c r="J21" s="29"/>
      <c r="K21" s="22" t="str">
        <f>IF('広告表示オプション（共有）'!$B$6="",I21,'広告表示オプション（共有）'!$B$6)&amp;" - "&amp;IF('広告表示オプション（共有）'!$B$7="",I21,'広告表示オプション（共有）'!$B$7)&amp;" - "&amp;IF('広告表示オプション（共有）'!$B$8="",I21,'広告表示オプション（共有）'!$B$8)&amp;" - "&amp;IF('広告表示オプション（共有）'!$B$9="",I21,'広告表示オプション（共有）'!$B$9)</f>
        <v>クイックリンク - クイックリンク - クイックリンク - クイックリンク</v>
      </c>
      <c r="L21" s="21"/>
    </row>
    <row r="22" spans="2:12" ht="19.5" customHeight="1">
      <c r="F22"/>
    </row>
    <row r="23" spans="2:12" ht="19.5" customHeight="1">
      <c r="B23" s="11">
        <v>3</v>
      </c>
      <c r="C23" s="12" t="s">
        <v>44</v>
      </c>
      <c r="D23" s="23"/>
      <c r="E23" s="24" t="e">
        <f>IF(INDEX(拡張テキスト!$A:$AA,MATCH($C$8&amp;$B23,拡張テキスト!$AB:$AB,0),MATCH("タイトル1",拡張テキスト!$5:$5,0))="","タイトル1",INDEX(拡張テキスト!$A:$AA,MATCH($C$8&amp;$B23,拡張テキスト!$AB:$AB,0),MATCH("タイトル1",拡張テキスト!$5:$5,0)))
&amp;" - "&amp;IF(INDEX(拡張テキスト!$A:$AA,MATCH($C$8&amp;$B23,拡張テキスト!$AB:$AB,0),MATCH("タイトル2",拡張テキスト!$5:$5,0))="","タイトル2",INDEX(拡張テキスト!$A:$AA,MATCH($C$8&amp;$B23,拡張テキスト!$AB:$AB,0),MATCH("タイトル2",拡張テキスト!$5:$5,0)))</f>
        <v>#N/A</v>
      </c>
      <c r="F23" s="25"/>
      <c r="H23" s="11">
        <v>3</v>
      </c>
      <c r="I23" s="12" t="s">
        <v>44</v>
      </c>
      <c r="J23" s="23"/>
      <c r="K23" s="24" t="e">
        <f>IF(INDEX(拡張テキスト!$A:$AA,MATCH($I$8&amp;$H23,拡張テキスト!$AB:$AB,0),MATCH("タイトル1",拡張テキスト!$5:$5,0))="","タイトル1",INDEX(拡張テキスト!$A:$AA,MATCH($I$8&amp;$H23,拡張テキスト!$AB:$AB,0),MATCH("タイトル1",拡張テキスト!$5:$5,0)))
&amp;" - "&amp;IF(INDEX(拡張テキスト!$A:$AA,MATCH($I$8&amp;$H23,拡張テキスト!$AB:$AB,0),MATCH("タイトル2",拡張テキスト!$5:$5,0))="","タイトル2",INDEX(拡張テキスト!$A:$AA,MATCH($I$8&amp;$H23,拡張テキスト!$AB:$AB,0),MATCH("タイトル2",拡張テキスト!$5:$5,0)))</f>
        <v>#N/A</v>
      </c>
      <c r="L23" s="26"/>
    </row>
    <row r="24" spans="2:12" ht="19.5" customHeight="1">
      <c r="B24" s="13"/>
      <c r="C24" s="14" t="s">
        <v>48</v>
      </c>
      <c r="D24" s="27"/>
      <c r="E24" s="28" t="s">
        <v>513</v>
      </c>
      <c r="F24" s="15" t="e">
        <f>IF(INDEX(拡張テキスト!$A:$AA,MATCH($C$8&amp;$B23,拡張テキスト!$AB:$AB,0),MATCH("Google：パス
Yahoo：ディレクトリ",拡張テキスト!$5:$5,0))="","Google：パス
Yahoo：ディレクトリ",INDEX(拡張テキスト!$A:$AA,MATCH($C$8&amp;$B23,拡張テキスト!$AB:$AB,0),MATCH("Google：パス
Yahoo：ディレクトリ",拡張テキスト!$5:$5,0)))</f>
        <v>#N/A</v>
      </c>
      <c r="H24" s="13"/>
      <c r="I24" s="13" t="s">
        <v>48</v>
      </c>
      <c r="J24" s="27"/>
      <c r="K24" s="31" t="s">
        <v>513</v>
      </c>
      <c r="L24" s="15" t="e">
        <f>IF(INDEX(拡張テキスト!$A:$AA,MATCH($I$8&amp;$H23,拡張テキスト!$AB:$AB,0),MATCH("Google：パス
Yahoo：ディレクトリ",拡張テキスト!$5:$5,0))="","Google：パス
Yahoo：ディレクトリ",INDEX(拡張テキスト!$A:$AA,MATCH($I$8&amp;$H23,拡張テキスト!$AB:$AB,0),MATCH("Google：パス
Yahoo：ディレクトリ",拡張テキスト!$5:$5,0)))</f>
        <v>#N/A</v>
      </c>
    </row>
    <row r="25" spans="2:12" ht="19.5" customHeight="1">
      <c r="B25" s="13"/>
      <c r="C25" s="14" t="s">
        <v>10</v>
      </c>
      <c r="D25" s="27"/>
      <c r="E25" s="16" t="e">
        <f>IF(INDEX(拡張テキスト!$A:$AA,MATCH($C$8&amp;$B23,拡張テキスト!$AB:$AB,0),MATCH("説明文1
※動的検索広告の場合は説明文のみ",拡張テキスト!$5:$5,0))="","説明文",INDEX(拡張テキスト!$A:$AA,MATCH($C$8&amp;$B23,拡張テキスト!$AB:$AB,0),MATCH("説明文1
※動的検索広告の場合は説明文のみ",拡張テキスト!$5:$5,0)))</f>
        <v>#N/A</v>
      </c>
      <c r="F25" s="18"/>
      <c r="H25" s="13"/>
      <c r="I25" s="17" t="s">
        <v>10</v>
      </c>
      <c r="J25" s="27"/>
      <c r="K25" s="16" t="e">
        <f>IF(INDEX(拡張テキスト!$A:$AA,MATCH($I$8&amp;$H23,拡張テキスト!$AB:$AB,0),MATCH("説明文1
※動的検索広告の場合は説明文のみ",拡張テキスト!$5:$5,0))="","説明文",INDEX(拡張テキスト!$A:$AA,MATCH($I$8&amp;$H23,拡張テキスト!$AB:$AB,0),MATCH("説明文1
※動的検索広告の場合は説明文のみ",拡張テキスト!$5:$5,0)))</f>
        <v>#N/A</v>
      </c>
      <c r="L25" s="18"/>
    </row>
    <row r="26" spans="2:12" ht="19.5" customHeight="1">
      <c r="B26" s="13"/>
      <c r="C26" s="14" t="s">
        <v>50</v>
      </c>
      <c r="D26" s="27"/>
      <c r="E26" s="16" t="str">
        <f>IF('広告表示オプション（共有）'!$B$17="",C26,'広告表示オプション（共有）'!$B$17)&amp;"・"&amp;IF('広告表示オプション（共有）'!$B$18="",C26,'広告表示オプション（共有）'!$B$18)&amp;"・"&amp;IF('広告表示オプション（共有）'!$B$19="",C26,'広告表示オプション（共有）'!$B$19)&amp;"・"&amp;IF('広告表示オプション（共有）'!$B$20="",C26,'広告表示オプション（共有）'!$B$20)</f>
        <v>コールアウト・コールアウト・コールアウト・コールアウト</v>
      </c>
      <c r="F26" s="15"/>
      <c r="H26" s="13"/>
      <c r="I26" s="17" t="s">
        <v>39</v>
      </c>
      <c r="J26" s="27"/>
      <c r="K26" s="16" t="str">
        <f>IF('広告表示オプション（共有）'!$B$17="",I26,'広告表示オプション（共有）'!$B$17)&amp;"・"&amp;IF('広告表示オプション（共有）'!$B$18="",I26,'広告表示オプション（共有）'!$B$18)&amp;"・"&amp;IF('広告表示オプション（共有）'!$B$19="",I26,'広告表示オプション（共有）'!$B$19)&amp;"・"&amp;IF('広告表示オプション（共有）'!$B$20="",I26,'広告表示オプション（共有）'!$B$20)</f>
        <v>テキスト補足オプション・テキスト補足オプション・テキスト補足オプション・テキスト補足オプション</v>
      </c>
      <c r="L26" s="18"/>
    </row>
    <row r="27" spans="2:12" ht="19.5" customHeight="1">
      <c r="B27" s="13"/>
      <c r="C27" s="14" t="s">
        <v>40</v>
      </c>
      <c r="D27" s="27"/>
      <c r="E27" s="16" t="str">
        <f>IF('広告表示オプション（共有）'!$A$28="",C27,'広告表示オプション（共有）'!$A$28)&amp;"："&amp;IF('広告表示オプション（共有）'!$B$28="",C27,'広告表示オプション（共有）'!$B$28)&amp;"・"&amp;IF('広告表示オプション（共有）'!$B$29="",C27,'広告表示オプション（共有）'!$B$29)&amp;"・"&amp;IF('広告表示オプション（共有）'!$B$30="",C27,'広告表示オプション（共有）'!$B$30)&amp;"・"&amp;IF('広告表示オプション（共有）'!$B$31="",C27,'広告表示オプション（共有）'!$B$31)</f>
        <v>入力規則：構造化スニペット・構造化スニペット・構造化スニペット・構造化スニペット</v>
      </c>
      <c r="F27" s="15"/>
      <c r="H27" s="13"/>
      <c r="I27" s="17" t="s">
        <v>585</v>
      </c>
      <c r="J27" s="27"/>
      <c r="K27" s="140" t="str">
        <f>IF('広告表示オプション（共有）'!$A$28="",I27,'広告表示オプション（共有）'!$A$28)&amp;"："&amp;IF('広告表示オプション（共有）'!$B$28="",I27,'広告表示オプション（共有）'!$B$28)&amp;"・"&amp;IF('広告表示オプション（共有）'!$B$29="",I27,'広告表示オプション（共有）'!$B$29)&amp;"・"&amp;IF('広告表示オプション（共有）'!$B$30="",I27,'広告表示オプション（共有）'!$B$30)&amp;"・"&amp;IF('広告表示オプション（共有）'!$B$31="",I27,'広告表示オプション（共有）'!$B$31)</f>
        <v>入力規則：カテゴリ補足オプション・カテゴリ補足オプション・カテゴリ補足オプション・カテゴリ補足オプション</v>
      </c>
      <c r="L27" s="139"/>
    </row>
    <row r="28" spans="2:12" ht="19.5" customHeight="1">
      <c r="B28" s="19"/>
      <c r="C28" s="20" t="s">
        <v>51</v>
      </c>
      <c r="D28" s="29"/>
      <c r="E28" s="22" t="str">
        <f>IF('広告表示オプション（共有）'!$B20="",C28,'広告表示オプション（共有）'!$B20)&amp;" - "&amp;IF('広告表示オプション（共有）'!$B$7="",C28,'広告表示オプション（共有）'!$B$7)&amp;" - "&amp;IF('広告表示オプション（共有）'!$B$8="",C28,'広告表示オプション（共有）'!$B$8)&amp;" - "&amp;IF('広告表示オプション（共有）'!$B$9="",C28,'広告表示オプション（共有）'!$B$9)</f>
        <v>サイトリンク - サイトリンク - サイトリンク - サイトリンク</v>
      </c>
      <c r="F28" s="30"/>
      <c r="H28" s="19"/>
      <c r="I28" s="20" t="s">
        <v>584</v>
      </c>
      <c r="J28" s="29"/>
      <c r="K28" s="22" t="str">
        <f>IF('広告表示オプション（共有）'!$B$6="",I28,'広告表示オプション（共有）'!$B$6)&amp;" - "&amp;IF('広告表示オプション（共有）'!$B$7="",I28,'広告表示オプション（共有）'!$B$7)&amp;" - "&amp;IF('広告表示オプション（共有）'!$B$8="",I28,'広告表示オプション（共有）'!$B$8)&amp;" - "&amp;IF('広告表示オプション（共有）'!$B$9="",I28,'広告表示オプション（共有）'!$B$9)</f>
        <v>クイックリンク - クイックリンク - クイックリンク - クイックリンク</v>
      </c>
      <c r="L28" s="21"/>
    </row>
    <row r="29" spans="2:12" ht="19.5" customHeight="1">
      <c r="F29"/>
    </row>
    <row r="30" spans="2:12" ht="19.5" customHeight="1">
      <c r="B30" s="11">
        <v>4</v>
      </c>
      <c r="C30" s="12" t="s">
        <v>44</v>
      </c>
      <c r="D30" s="23"/>
      <c r="E30" s="24" t="e">
        <f>IF(INDEX(拡張テキスト!$A:$AA,MATCH($C$8&amp;$B30,拡張テキスト!$AB:$AB,0),MATCH("タイトル1",拡張テキスト!$5:$5,0))="","タイトル1",INDEX(拡張テキスト!$A:$AA,MATCH($C$8&amp;$B30,拡張テキスト!$AB:$AB,0),MATCH("タイトル1",拡張テキスト!$5:$5,0)))
&amp;" - "&amp;IF(INDEX(拡張テキスト!$A:$AA,MATCH($C$8&amp;$B30,拡張テキスト!$AB:$AB,0),MATCH("タイトル2",拡張テキスト!$5:$5,0))="","タイトル2",INDEX(拡張テキスト!$A:$AA,MATCH($C$8&amp;$B30,拡張テキスト!$AB:$AB,0),MATCH("タイトル2",拡張テキスト!$5:$5,0)))</f>
        <v>#N/A</v>
      </c>
      <c r="F30" s="25"/>
      <c r="H30" s="11">
        <v>4</v>
      </c>
      <c r="I30" s="12" t="s">
        <v>44</v>
      </c>
      <c r="J30" s="23"/>
      <c r="K30" s="24" t="e">
        <f>IF(INDEX(拡張テキスト!$A:$AA,MATCH($I$8&amp;$H30,拡張テキスト!$AB:$AB,0),MATCH("タイトル1",拡張テキスト!$5:$5,0))="","タイトル1",INDEX(拡張テキスト!$A:$AA,MATCH($I$8&amp;$H30,拡張テキスト!$AB:$AB,0),MATCH("タイトル1",拡張テキスト!$5:$5,0)))
&amp;" - "&amp;IF(INDEX(拡張テキスト!$A:$AA,MATCH($I$8&amp;$H30,拡張テキスト!$AB:$AB,0),MATCH("タイトル2",拡張テキスト!$5:$5,0))="","タイトル2",INDEX(拡張テキスト!$A:$AA,MATCH($I$8&amp;$H30,拡張テキスト!$AB:$AB,0),MATCH("タイトル2",拡張テキスト!$5:$5,0)))</f>
        <v>#N/A</v>
      </c>
      <c r="L30" s="26"/>
    </row>
    <row r="31" spans="2:12" ht="19.5" customHeight="1">
      <c r="B31" s="13"/>
      <c r="C31" s="14" t="s">
        <v>48</v>
      </c>
      <c r="D31" s="27"/>
      <c r="E31" s="28" t="s">
        <v>513</v>
      </c>
      <c r="F31" s="15" t="e">
        <f>IF(INDEX(拡張テキスト!$A:$AA,MATCH($C$8&amp;$B30,拡張テキスト!$AB:$AB,0),MATCH("Google：パス
Yahoo：ディレクトリ",拡張テキスト!$5:$5,0))="","Google：パス
Yahoo：ディレクトリ",INDEX(拡張テキスト!$A:$AA,MATCH($C$8&amp;$B30,拡張テキスト!$AB:$AB,0),MATCH("Google：パス
Yahoo：ディレクトリ",拡張テキスト!$5:$5,0)))</f>
        <v>#N/A</v>
      </c>
      <c r="H31" s="13"/>
      <c r="I31" s="13" t="s">
        <v>48</v>
      </c>
      <c r="J31" s="27"/>
      <c r="K31" s="31" t="s">
        <v>513</v>
      </c>
      <c r="L31" s="15" t="e">
        <f>IF(INDEX(拡張テキスト!$A:$AA,MATCH($I$8&amp;$H30,拡張テキスト!$AB:$AB,0),MATCH("Google：パス
Yahoo：ディレクトリ",拡張テキスト!$5:$5,0))="","Google：パス
Yahoo：ディレクトリ",INDEX(拡張テキスト!$A:$AA,MATCH($I$8&amp;$H30,拡張テキスト!$AB:$AB,0),MATCH("Google：パス
Yahoo：ディレクトリ",拡張テキスト!$5:$5,0)))</f>
        <v>#N/A</v>
      </c>
    </row>
    <row r="32" spans="2:12" ht="19.5" customHeight="1">
      <c r="B32" s="13"/>
      <c r="C32" s="14" t="s">
        <v>10</v>
      </c>
      <c r="D32" s="27"/>
      <c r="E32" s="16" t="e">
        <f>IF(INDEX(拡張テキスト!$A:$AA,MATCH($C$8&amp;$B30,拡張テキスト!$AB:$AB,0),MATCH("説明文1
※動的検索広告の場合は説明文のみ",拡張テキスト!$5:$5,0))="","説明文",INDEX(拡張テキスト!$A:$AA,MATCH($C$8&amp;$B30,拡張テキスト!$AB:$AB,0),MATCH("説明文1
※動的検索広告の場合は説明文のみ",拡張テキスト!$5:$5,0)))</f>
        <v>#N/A</v>
      </c>
      <c r="F32" s="18"/>
      <c r="H32" s="13"/>
      <c r="I32" s="17" t="s">
        <v>10</v>
      </c>
      <c r="J32" s="27"/>
      <c r="K32" s="16" t="e">
        <f>IF(INDEX(拡張テキスト!$A:$AA,MATCH($I$8&amp;$H30,拡張テキスト!$AB:$AB,0),MATCH("説明文1
※動的検索広告の場合は説明文のみ",拡張テキスト!$5:$5,0))="","説明文",INDEX(拡張テキスト!$A:$AA,MATCH($I$8&amp;$H30,拡張テキスト!$AB:$AB,0),MATCH("説明文1
※動的検索広告の場合は説明文のみ",拡張テキスト!$5:$5,0)))</f>
        <v>#N/A</v>
      </c>
      <c r="L32" s="18"/>
    </row>
    <row r="33" spans="1:13" ht="19.5" customHeight="1">
      <c r="B33" s="13"/>
      <c r="C33" s="14" t="s">
        <v>50</v>
      </c>
      <c r="D33" s="27"/>
      <c r="E33" s="16" t="str">
        <f>IF('広告表示オプション（共有）'!$B$17="",C33,'広告表示オプション（共有）'!$B$17)&amp;"・"&amp;IF('広告表示オプション（共有）'!$B$18="",C33,'広告表示オプション（共有）'!$B$18)&amp;"・"&amp;IF('広告表示オプション（共有）'!$B$19="",C33,'広告表示オプション（共有）'!$B$19)&amp;"・"&amp;IF('広告表示オプション（共有）'!$B$20="",C33,'広告表示オプション（共有）'!$B$20)</f>
        <v>コールアウト・コールアウト・コールアウト・コールアウト</v>
      </c>
      <c r="F33" s="15"/>
      <c r="H33" s="13"/>
      <c r="I33" s="17" t="s">
        <v>39</v>
      </c>
      <c r="J33" s="27"/>
      <c r="K33" s="16" t="str">
        <f>IF('広告表示オプション（共有）'!$B$17="",I33,'広告表示オプション（共有）'!$B$17)&amp;"・"&amp;IF('広告表示オプション（共有）'!$B$18="",I33,'広告表示オプション（共有）'!$B$18)&amp;"・"&amp;IF('広告表示オプション（共有）'!$B$19="",I33,'広告表示オプション（共有）'!$B$19)&amp;"・"&amp;IF('広告表示オプション（共有）'!$B$20="",I33,'広告表示オプション（共有）'!$B$20)</f>
        <v>テキスト補足オプション・テキスト補足オプション・テキスト補足オプション・テキスト補足オプション</v>
      </c>
      <c r="L33" s="18"/>
    </row>
    <row r="34" spans="1:13" ht="19.5" customHeight="1">
      <c r="B34" s="13"/>
      <c r="C34" s="14" t="s">
        <v>40</v>
      </c>
      <c r="D34" s="27"/>
      <c r="E34" s="16" t="str">
        <f>IF('広告表示オプション（共有）'!$A$28="",C34,'広告表示オプション（共有）'!$A$28)&amp;"："&amp;IF('広告表示オプション（共有）'!$B$28="",C34,'広告表示オプション（共有）'!$B$28)&amp;"・"&amp;IF('広告表示オプション（共有）'!$B$29="",C34,'広告表示オプション（共有）'!$B$29)&amp;"・"&amp;IF('広告表示オプション（共有）'!$B$30="",C34,'広告表示オプション（共有）'!$B$30)&amp;"・"&amp;IF('広告表示オプション（共有）'!$B$31="",C34,'広告表示オプション（共有）'!$B$31)</f>
        <v>入力規則：構造化スニペット・構造化スニペット・構造化スニペット・構造化スニペット</v>
      </c>
      <c r="F34" s="15"/>
      <c r="H34" s="13"/>
      <c r="I34" s="17" t="s">
        <v>585</v>
      </c>
      <c r="J34" s="27"/>
      <c r="K34" s="140" t="str">
        <f>IF('広告表示オプション（共有）'!$A$28="",I34,'広告表示オプション（共有）'!$A$28)&amp;"："&amp;IF('広告表示オプション（共有）'!$B$28="",I34,'広告表示オプション（共有）'!$B$28)&amp;"・"&amp;IF('広告表示オプション（共有）'!$B$29="",I34,'広告表示オプション（共有）'!$B$29)&amp;"・"&amp;IF('広告表示オプション（共有）'!$B$30="",I34,'広告表示オプション（共有）'!$B$30)&amp;"・"&amp;IF('広告表示オプション（共有）'!$B$31="",I34,'広告表示オプション（共有）'!$B$31)</f>
        <v>入力規則：カテゴリ補足オプション・カテゴリ補足オプション・カテゴリ補足オプション・カテゴリ補足オプション</v>
      </c>
      <c r="L34" s="139"/>
    </row>
    <row r="35" spans="1:13" ht="19.5" customHeight="1">
      <c r="B35" s="19"/>
      <c r="C35" s="20" t="s">
        <v>51</v>
      </c>
      <c r="D35" s="29"/>
      <c r="E35" s="22" t="str">
        <f>IF('広告表示オプション（共有）'!$A27="",C35,'広告表示オプション（共有）'!$A27)&amp;" - "&amp;IF('広告表示オプション（共有）'!$B$7="",C35,'広告表示オプション（共有）'!$B$7)&amp;" - "&amp;IF('広告表示オプション（共有）'!$B$8="",C35,'広告表示オプション（共有）'!$B$8)&amp;" - "&amp;IF('広告表示オプション（共有）'!$B$9="",C35,'広告表示オプション（共有）'!$B$9)</f>
        <v>構造化スニペットラベル - サイトリンク - サイトリンク - サイトリンク</v>
      </c>
      <c r="F35" s="30"/>
      <c r="H35" s="19"/>
      <c r="I35" s="20" t="s">
        <v>584</v>
      </c>
      <c r="J35" s="29"/>
      <c r="K35" s="22" t="str">
        <f>IF('広告表示オプション（共有）'!$B$6="",I35,'広告表示オプション（共有）'!$B$6)&amp;" - "&amp;IF('広告表示オプション（共有）'!$B$7="",I35,'広告表示オプション（共有）'!$B$7)&amp;" - "&amp;IF('広告表示オプション（共有）'!$B$8="",I35,'広告表示オプション（共有）'!$B$8)&amp;" - "&amp;IF('広告表示オプション（共有）'!$B$9="",I35,'広告表示オプション（共有）'!$B$9)</f>
        <v>クイックリンク - クイックリンク - クイックリンク - クイックリンク</v>
      </c>
      <c r="L35" s="21"/>
    </row>
    <row r="36" spans="1:13" ht="19.5" customHeight="1">
      <c r="F36"/>
    </row>
    <row r="37" spans="1:13" ht="19.5" customHeight="1">
      <c r="B37" s="11">
        <v>5</v>
      </c>
      <c r="C37" s="12" t="s">
        <v>44</v>
      </c>
      <c r="D37" s="23"/>
      <c r="E37" s="24" t="e">
        <f>IF(INDEX(拡張テキスト!$A:$AA,MATCH($C$8&amp;$B37,拡張テキスト!$AB:$AB,0),MATCH("タイトル1",拡張テキスト!$5:$5,0))="","タイトル1",INDEX(拡張テキスト!$A:$AA,MATCH($C$8&amp;$B37,拡張テキスト!$AB:$AB,0),MATCH("タイトル1",拡張テキスト!$5:$5,0)))
&amp;" - "&amp;IF(INDEX(拡張テキスト!$A:$AA,MATCH($C$8&amp;$B37,拡張テキスト!$AB:$AB,0),MATCH("タイトル2",拡張テキスト!$5:$5,0))="","タイトル2",INDEX(拡張テキスト!$A:$AA,MATCH($C$8&amp;$B37,拡張テキスト!$AB:$AB,0),MATCH("タイトル2",拡張テキスト!$5:$5,0)))</f>
        <v>#N/A</v>
      </c>
      <c r="F37" s="25"/>
      <c r="H37" s="11">
        <v>5</v>
      </c>
      <c r="I37" s="12" t="s">
        <v>44</v>
      </c>
      <c r="J37" s="23"/>
      <c r="K37" s="24" t="e">
        <f>IF(INDEX(拡張テキスト!$A:$AA,MATCH($I$8&amp;$H37,拡張テキスト!$AB:$AB,0),MATCH("タイトル1",拡張テキスト!$5:$5,0))="","タイトル1",INDEX(拡張テキスト!$A:$AA,MATCH($I$8&amp;$H37,拡張テキスト!$AB:$AB,0),MATCH("タイトル1",拡張テキスト!$5:$5,0)))
&amp;" - "&amp;IF(INDEX(拡張テキスト!$A:$AA,MATCH($I$8&amp;$H37,拡張テキスト!$AB:$AB,0),MATCH("タイトル2",拡張テキスト!$5:$5,0))="","タイトル2",INDEX(拡張テキスト!$A:$AA,MATCH($I$8&amp;$H37,拡張テキスト!$AB:$AB,0),MATCH("タイトル2",拡張テキスト!$5:$5,0)))</f>
        <v>#N/A</v>
      </c>
      <c r="L37" s="26"/>
    </row>
    <row r="38" spans="1:13" ht="19.5" customHeight="1">
      <c r="B38" s="13"/>
      <c r="C38" s="14" t="s">
        <v>48</v>
      </c>
      <c r="D38" s="27"/>
      <c r="E38" s="28" t="s">
        <v>513</v>
      </c>
      <c r="F38" s="15" t="e">
        <f>IF(INDEX(拡張テキスト!$A:$AA,MATCH($C$8&amp;$B37,拡張テキスト!$AB:$AB,0),MATCH("Google：パス
Yahoo：ディレクトリ",拡張テキスト!$5:$5,0))="","Google：パス
Yahoo：ディレクトリ",INDEX(拡張テキスト!$A:$AA,MATCH($C$8&amp;$B37,拡張テキスト!$AB:$AB,0),MATCH("Google：パス
Yahoo：ディレクトリ",拡張テキスト!$5:$5,0)))</f>
        <v>#N/A</v>
      </c>
      <c r="H38" s="13"/>
      <c r="I38" s="13" t="s">
        <v>48</v>
      </c>
      <c r="J38" s="27"/>
      <c r="K38" s="31" t="s">
        <v>513</v>
      </c>
      <c r="L38" s="15" t="e">
        <f>IF(INDEX(拡張テキスト!$A:$AA,MATCH($I$8&amp;$H37,拡張テキスト!$AB:$AB,0),MATCH("Google：パス
Yahoo：ディレクトリ",拡張テキスト!$5:$5,0))="","Google：パス
Yahoo：ディレクトリ",INDEX(拡張テキスト!$A:$AA,MATCH($I$8&amp;$H37,拡張テキスト!$AB:$AB,0),MATCH("Google：パス
Yahoo：ディレクトリ",拡張テキスト!$5:$5,0)))</f>
        <v>#N/A</v>
      </c>
    </row>
    <row r="39" spans="1:13" ht="19.5" customHeight="1">
      <c r="B39" s="13"/>
      <c r="C39" s="14" t="s">
        <v>10</v>
      </c>
      <c r="D39" s="27"/>
      <c r="E39" s="16" t="e">
        <f>IF(INDEX(拡張テキスト!$A:$AA,MATCH($C$8&amp;$B37,拡張テキスト!$AB:$AB,0),MATCH("説明文1
※動的検索広告の場合は説明文のみ",拡張テキスト!$5:$5,0))="","説明文",INDEX(拡張テキスト!$A:$AA,MATCH($C$8&amp;$B37,拡張テキスト!$AB:$AB,0),MATCH("説明文1
※動的検索広告の場合は説明文のみ",拡張テキスト!$5:$5,0)))</f>
        <v>#N/A</v>
      </c>
      <c r="F39" s="18"/>
      <c r="H39" s="13"/>
      <c r="I39" s="17" t="s">
        <v>10</v>
      </c>
      <c r="J39" s="27"/>
      <c r="K39" s="16" t="e">
        <f>IF(INDEX(拡張テキスト!$A:$AA,MATCH($I$8&amp;$H37,拡張テキスト!$AB:$AB,0),MATCH("説明文1
※動的検索広告の場合は説明文のみ",拡張テキスト!$5:$5,0))="","説明文",INDEX(拡張テキスト!$A:$AA,MATCH($I$8&amp;$H37,拡張テキスト!$AB:$AB,0),MATCH("説明文1
※動的検索広告の場合は説明文のみ",拡張テキスト!$5:$5,0)))</f>
        <v>#N/A</v>
      </c>
      <c r="L39" s="18"/>
    </row>
    <row r="40" spans="1:13" ht="19.5" customHeight="1">
      <c r="B40" s="13"/>
      <c r="C40" s="14" t="s">
        <v>50</v>
      </c>
      <c r="D40" s="27"/>
      <c r="E40" s="16" t="str">
        <f>IF('広告表示オプション（共有）'!$B$17="",C40,'広告表示オプション（共有）'!$B$17)&amp;"・"&amp;IF('広告表示オプション（共有）'!$B$18="",C40,'広告表示オプション（共有）'!$B$18)&amp;"・"&amp;IF('広告表示オプション（共有）'!$B$19="",C40,'広告表示オプション（共有）'!$B$19)&amp;"・"&amp;IF('広告表示オプション（共有）'!$B$20="",C40,'広告表示オプション（共有）'!$B$20)</f>
        <v>コールアウト・コールアウト・コールアウト・コールアウト</v>
      </c>
      <c r="F40" s="15"/>
      <c r="H40" s="13"/>
      <c r="I40" s="17" t="s">
        <v>39</v>
      </c>
      <c r="J40" s="27"/>
      <c r="K40" s="16" t="str">
        <f>IF('広告表示オプション（共有）'!$B$17="",I40,'広告表示オプション（共有）'!$B$17)&amp;"・"&amp;IF('広告表示オプション（共有）'!$B$18="",I40,'広告表示オプション（共有）'!$B$18)&amp;"・"&amp;IF('広告表示オプション（共有）'!$B$19="",I40,'広告表示オプション（共有）'!$B$19)&amp;"・"&amp;IF('広告表示オプション（共有）'!$B$20="",I40,'広告表示オプション（共有）'!$B$20)</f>
        <v>テキスト補足オプション・テキスト補足オプション・テキスト補足オプション・テキスト補足オプション</v>
      </c>
      <c r="L40" s="18"/>
    </row>
    <row r="41" spans="1:13" ht="19.5" customHeight="1">
      <c r="B41" s="13"/>
      <c r="C41" s="14" t="s">
        <v>40</v>
      </c>
      <c r="D41" s="27"/>
      <c r="E41" s="16" t="str">
        <f>IF('広告表示オプション（共有）'!$A$28="",C41,'広告表示オプション（共有）'!$A$28)&amp;"："&amp;IF('広告表示オプション（共有）'!$B$28="",C41,'広告表示オプション（共有）'!$B$28)&amp;"・"&amp;IF('広告表示オプション（共有）'!$B$29="",C41,'広告表示オプション（共有）'!$B$29)&amp;"・"&amp;IF('広告表示オプション（共有）'!$B$30="",C41,'広告表示オプション（共有）'!$B$30)&amp;"・"&amp;IF('広告表示オプション（共有）'!$B$31="",C41,'広告表示オプション（共有）'!$B$31)</f>
        <v>入力規則：構造化スニペット・構造化スニペット・構造化スニペット・構造化スニペット</v>
      </c>
      <c r="F41" s="15"/>
      <c r="H41" s="13"/>
      <c r="I41" s="17" t="s">
        <v>585</v>
      </c>
      <c r="J41" s="27"/>
      <c r="K41" s="140" t="str">
        <f>IF('広告表示オプション（共有）'!$A$28="",I41,'広告表示オプション（共有）'!$A$28)&amp;"："&amp;IF('広告表示オプション（共有）'!$B$28="",I41,'広告表示オプション（共有）'!$B$28)&amp;"・"&amp;IF('広告表示オプション（共有）'!$B$29="",I41,'広告表示オプション（共有）'!$B$29)&amp;"・"&amp;IF('広告表示オプション（共有）'!$B$30="",I41,'広告表示オプション（共有）'!$B$30)&amp;"・"&amp;IF('広告表示オプション（共有）'!$B$31="",I41,'広告表示オプション（共有）'!$B$31)</f>
        <v>入力規則：カテゴリ補足オプション・カテゴリ補足オプション・カテゴリ補足オプション・カテゴリ補足オプション</v>
      </c>
      <c r="L41" s="139"/>
    </row>
    <row r="42" spans="1:13" ht="19.5" customHeight="1">
      <c r="B42" s="19"/>
      <c r="C42" s="20" t="s">
        <v>51</v>
      </c>
      <c r="D42" s="29"/>
      <c r="E42" s="22" t="str">
        <f>IF('広告表示オプション（共有）'!$A34="",C42,'広告表示オプション（共有）'!$A34)&amp;" - "&amp;IF('広告表示オプション（共有）'!$B$7="",C42,'広告表示オプション（共有）'!$B$7)&amp;" - "&amp;IF('広告表示オプション（共有）'!$B$8="",C42,'広告表示オプション（共有）'!$B$8)&amp;" - "&amp;IF('広告表示オプション（共有）'!$B$9="",C42,'広告表示オプション（共有）'!$B$9)</f>
        <v>入力規則 - サイトリンク - サイトリンク - サイトリンク</v>
      </c>
      <c r="F42" s="30"/>
      <c r="H42" s="19"/>
      <c r="I42" s="20" t="s">
        <v>584</v>
      </c>
      <c r="J42" s="29"/>
      <c r="K42" s="22" t="str">
        <f>IF('広告表示オプション（共有）'!$B$6="",I42,'広告表示オプション（共有）'!$B$6)&amp;" - "&amp;IF('広告表示オプション（共有）'!$B$7="",I42,'広告表示オプション（共有）'!$B$7)&amp;" - "&amp;IF('広告表示オプション（共有）'!$B$8="",I42,'広告表示オプション（共有）'!$B$8)&amp;" - "&amp;IF('広告表示オプション（共有）'!$B$9="",I42,'広告表示オプション（共有）'!$B$9)</f>
        <v>クイックリンク - クイックリンク - クイックリンク - クイックリンク</v>
      </c>
      <c r="L42" s="21"/>
    </row>
    <row r="43" spans="1:13" ht="19.5" customHeight="1">
      <c r="F43"/>
    </row>
    <row r="44" spans="1:13" ht="19.5" customHeight="1">
      <c r="F44"/>
    </row>
    <row r="45" spans="1:13" ht="19.5" customHeight="1">
      <c r="A45" s="43"/>
      <c r="B45" s="529" t="s">
        <v>180</v>
      </c>
      <c r="C45" s="529"/>
      <c r="D45" s="529"/>
      <c r="E45" s="529"/>
      <c r="F45" s="529"/>
      <c r="G45" s="529"/>
      <c r="H45" s="529"/>
      <c r="I45" s="529"/>
      <c r="J45" s="529"/>
      <c r="K45" s="529"/>
      <c r="L45" s="529"/>
      <c r="M45" s="43"/>
    </row>
    <row r="47" spans="1:13" ht="19.5" customHeight="1">
      <c r="F47"/>
    </row>
    <row r="48" spans="1:13" ht="19.5" customHeight="1">
      <c r="F48"/>
    </row>
    <row r="49" spans="6:6" ht="19.5" customHeight="1">
      <c r="F49"/>
    </row>
    <row r="50" spans="6:6" ht="19.5" customHeight="1">
      <c r="F50"/>
    </row>
    <row r="51" spans="6:6" ht="19.5" customHeight="1">
      <c r="F51"/>
    </row>
    <row r="52" spans="6:6" ht="19.5" customHeight="1">
      <c r="F52"/>
    </row>
    <row r="53" spans="6:6" ht="19.5" customHeight="1">
      <c r="F53"/>
    </row>
    <row r="54" spans="6:6" ht="19.5" customHeight="1">
      <c r="F54"/>
    </row>
    <row r="55" spans="6:6" ht="19.5" customHeight="1">
      <c r="F55"/>
    </row>
    <row r="56" spans="6:6" ht="19.5" customHeight="1">
      <c r="F56"/>
    </row>
    <row r="57" spans="6:6" ht="19.5" customHeight="1">
      <c r="F57"/>
    </row>
    <row r="58" spans="6:6" ht="19.5" customHeight="1">
      <c r="F58"/>
    </row>
    <row r="59" spans="6:6" ht="19.5" customHeight="1">
      <c r="F59"/>
    </row>
    <row r="60" spans="6:6" ht="19.5" customHeight="1">
      <c r="F60"/>
    </row>
    <row r="61" spans="6:6" ht="19.5" customHeight="1">
      <c r="F61"/>
    </row>
    <row r="62" spans="6:6" ht="19.5" customHeight="1">
      <c r="F62"/>
    </row>
    <row r="63" spans="6:6" ht="19.5" customHeight="1">
      <c r="F63"/>
    </row>
    <row r="64" spans="6:6" ht="19.5" customHeight="1">
      <c r="F64"/>
    </row>
    <row r="65" spans="6:6" ht="19.5" customHeight="1">
      <c r="F65"/>
    </row>
    <row r="66" spans="6:6" ht="19.5" customHeight="1">
      <c r="F66"/>
    </row>
    <row r="67" spans="6:6" ht="19.5" customHeight="1">
      <c r="F67"/>
    </row>
    <row r="68" spans="6:6" ht="19.5" customHeight="1">
      <c r="F68"/>
    </row>
    <row r="69" spans="6:6" ht="19.5" customHeight="1">
      <c r="F69"/>
    </row>
    <row r="70" spans="6:6" ht="19.5" customHeight="1">
      <c r="F70"/>
    </row>
    <row r="71" spans="6:6" ht="19.5" customHeight="1">
      <c r="F71"/>
    </row>
    <row r="72" spans="6:6" ht="19.5" customHeight="1">
      <c r="F72"/>
    </row>
    <row r="73" spans="6:6" ht="19.5" customHeight="1">
      <c r="F73"/>
    </row>
    <row r="74" spans="6:6" ht="19.5" customHeight="1">
      <c r="F74"/>
    </row>
    <row r="75" spans="6:6" ht="19.5" customHeight="1">
      <c r="F75"/>
    </row>
    <row r="76" spans="6:6" ht="19.5" customHeight="1">
      <c r="F76"/>
    </row>
    <row r="77" spans="6:6" ht="19.5" customHeight="1">
      <c r="F77"/>
    </row>
    <row r="78" spans="6:6" ht="19.5" customHeight="1">
      <c r="F78"/>
    </row>
    <row r="79" spans="6:6" ht="19.5" customHeight="1">
      <c r="F79"/>
    </row>
    <row r="80" spans="6:6" ht="19.5" customHeight="1">
      <c r="F80"/>
    </row>
    <row r="81" spans="6:6" ht="19.5" customHeight="1">
      <c r="F81"/>
    </row>
  </sheetData>
  <mergeCells count="2">
    <mergeCell ref="B45:L45"/>
    <mergeCell ref="B5:L5"/>
  </mergeCells>
  <phoneticPr fontId="14"/>
  <pageMargins left="0.7" right="0.7" top="0.75" bottom="0.75" header="0.3" footer="0.3"/>
  <pageSetup paperSize="9" scale="33"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theme="5" tint="0.79998168889431442"/>
    <pageSetUpPr fitToPage="1"/>
  </sheetPr>
  <dimension ref="A1:G17"/>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3" width="15.77734375" style="2" customWidth="1"/>
    <col min="4" max="5" width="15.77734375" style="1" customWidth="1"/>
    <col min="6" max="6" width="24.6640625" style="1" customWidth="1"/>
    <col min="7" max="7" width="14.6640625" style="1" customWidth="1"/>
    <col min="8" max="16384" width="8.88671875" style="1"/>
  </cols>
  <sheetData>
    <row r="1" spans="1:7" ht="19.5" customHeight="1">
      <c r="A1" s="114" t="str">
        <f>"Ver."&amp;変更履歴!$B$1</f>
        <v>Ver.10.1</v>
      </c>
    </row>
    <row r="2" spans="1:7" ht="19.5" customHeight="1">
      <c r="A2" s="4" t="s">
        <v>227</v>
      </c>
      <c r="B2" s="4"/>
    </row>
    <row r="3" spans="1:7" ht="19.5" customHeight="1">
      <c r="A3" s="6"/>
      <c r="F3" s="267" t="s">
        <v>1300</v>
      </c>
      <c r="G3" s="267" t="s">
        <v>1300</v>
      </c>
    </row>
    <row r="4" spans="1:7" s="2" customFormat="1" ht="39.950000000000003" customHeight="1">
      <c r="A4" s="55" t="s">
        <v>18</v>
      </c>
      <c r="B4" s="55" t="s">
        <v>28</v>
      </c>
      <c r="C4" s="55" t="s">
        <v>29</v>
      </c>
      <c r="D4" s="56" t="s">
        <v>181</v>
      </c>
      <c r="E4" s="56" t="s">
        <v>31</v>
      </c>
      <c r="F4" s="171" t="s">
        <v>1302</v>
      </c>
      <c r="G4" s="171" t="s">
        <v>1303</v>
      </c>
    </row>
    <row r="5" spans="1:7" ht="19.5" customHeight="1">
      <c r="A5" s="82" t="s">
        <v>186</v>
      </c>
      <c r="B5" s="80"/>
      <c r="C5" s="80"/>
      <c r="D5" s="81"/>
      <c r="E5" s="82" t="s">
        <v>186</v>
      </c>
      <c r="F5" s="7" t="str">
        <f>IF(A5="Google",IF(C5="",IF(E5="Exact","Campaign negative Exact",IF(E5="Broad","Campaign negative Broad",IF(E5="Phrase","Campaign negative Phrase","Error!"))),IF(E5="Exact","Negative Exact",IF(E5="Broad","Negative Broad",IF(E5="Phrase","Negative Phrase","Error!")))),"")</f>
        <v/>
      </c>
      <c r="G5" s="269" t="str">
        <f>IF(A5="Yahoo!",IF(C5="","キャンペーンの対象外キーワード","広告グループの対象外キーワード"),"")</f>
        <v/>
      </c>
    </row>
    <row r="6" spans="1:7" ht="19.5" customHeight="1">
      <c r="A6" s="82" t="s">
        <v>186</v>
      </c>
      <c r="B6" s="80"/>
      <c r="C6" s="80"/>
      <c r="D6" s="81"/>
      <c r="E6" s="82" t="s">
        <v>186</v>
      </c>
      <c r="F6" s="7" t="str">
        <f t="shared" ref="F6:F17" si="0">IF(A6="Google",IF(C6="",IF(E6="Exact","Campaign negative Exact",IF(E6="Broad","Campaign negative Broad",IF(E6="Phrase","Campaign negative Phrase","Error!"))),IF(E6="Exact","Negative Exact",IF(E6="Broad","Negative Broad",IF(E6="Phrase","Negative Phrase","Error!")))),"")</f>
        <v/>
      </c>
      <c r="G6" s="269" t="str">
        <f t="shared" ref="G6:G17" si="1">IF(A6="Yahoo!",IF(C6="","キャンペーンの対象外キーワード","広告グループの対象外キーワード"),"")</f>
        <v/>
      </c>
    </row>
    <row r="7" spans="1:7" ht="19.5" customHeight="1">
      <c r="A7" s="82" t="s">
        <v>186</v>
      </c>
      <c r="B7" s="80"/>
      <c r="C7" s="80"/>
      <c r="D7" s="81"/>
      <c r="E7" s="82" t="s">
        <v>186</v>
      </c>
      <c r="F7" s="7" t="str">
        <f t="shared" si="0"/>
        <v/>
      </c>
      <c r="G7" s="269" t="str">
        <f t="shared" si="1"/>
        <v/>
      </c>
    </row>
    <row r="8" spans="1:7" ht="19.5" customHeight="1">
      <c r="A8" s="82" t="s">
        <v>186</v>
      </c>
      <c r="B8" s="80"/>
      <c r="C8" s="80"/>
      <c r="D8" s="81"/>
      <c r="E8" s="82" t="s">
        <v>186</v>
      </c>
      <c r="F8" s="7" t="str">
        <f t="shared" si="0"/>
        <v/>
      </c>
      <c r="G8" s="269" t="str">
        <f t="shared" si="1"/>
        <v/>
      </c>
    </row>
    <row r="9" spans="1:7" ht="19.5" customHeight="1">
      <c r="A9" s="82" t="s">
        <v>186</v>
      </c>
      <c r="B9" s="80"/>
      <c r="C9" s="80"/>
      <c r="D9" s="81"/>
      <c r="E9" s="82" t="s">
        <v>186</v>
      </c>
      <c r="F9" s="7" t="str">
        <f t="shared" si="0"/>
        <v/>
      </c>
      <c r="G9" s="269" t="str">
        <f t="shared" si="1"/>
        <v/>
      </c>
    </row>
    <row r="10" spans="1:7" ht="19.5" customHeight="1">
      <c r="A10" s="82" t="s">
        <v>186</v>
      </c>
      <c r="B10" s="80"/>
      <c r="C10" s="80"/>
      <c r="D10" s="81"/>
      <c r="E10" s="82" t="s">
        <v>186</v>
      </c>
      <c r="F10" s="7" t="str">
        <f t="shared" si="0"/>
        <v/>
      </c>
      <c r="G10" s="269" t="str">
        <f t="shared" si="1"/>
        <v/>
      </c>
    </row>
    <row r="11" spans="1:7" ht="19.5" customHeight="1">
      <c r="A11" s="82" t="s">
        <v>186</v>
      </c>
      <c r="B11" s="80"/>
      <c r="C11" s="80"/>
      <c r="D11" s="81"/>
      <c r="E11" s="82" t="s">
        <v>186</v>
      </c>
      <c r="F11" s="7" t="str">
        <f t="shared" si="0"/>
        <v/>
      </c>
      <c r="G11" s="269" t="str">
        <f t="shared" si="1"/>
        <v/>
      </c>
    </row>
    <row r="12" spans="1:7" ht="19.5" customHeight="1">
      <c r="A12" s="82" t="s">
        <v>186</v>
      </c>
      <c r="B12" s="80"/>
      <c r="C12" s="80"/>
      <c r="D12" s="81"/>
      <c r="E12" s="82" t="s">
        <v>186</v>
      </c>
      <c r="F12" s="7" t="str">
        <f t="shared" si="0"/>
        <v/>
      </c>
      <c r="G12" s="269" t="str">
        <f t="shared" si="1"/>
        <v/>
      </c>
    </row>
    <row r="13" spans="1:7" ht="19.5" customHeight="1">
      <c r="A13" s="82" t="s">
        <v>186</v>
      </c>
      <c r="B13" s="80"/>
      <c r="C13" s="80"/>
      <c r="D13" s="81"/>
      <c r="E13" s="82" t="s">
        <v>186</v>
      </c>
      <c r="F13" s="7" t="str">
        <f t="shared" si="0"/>
        <v/>
      </c>
      <c r="G13" s="269" t="str">
        <f t="shared" si="1"/>
        <v/>
      </c>
    </row>
    <row r="14" spans="1:7" ht="19.5" customHeight="1">
      <c r="A14" s="82" t="s">
        <v>186</v>
      </c>
      <c r="B14" s="80"/>
      <c r="C14" s="80"/>
      <c r="D14" s="81"/>
      <c r="E14" s="82" t="s">
        <v>186</v>
      </c>
      <c r="F14" s="7" t="str">
        <f t="shared" si="0"/>
        <v/>
      </c>
      <c r="G14" s="269" t="str">
        <f t="shared" si="1"/>
        <v/>
      </c>
    </row>
    <row r="15" spans="1:7" ht="19.5" customHeight="1">
      <c r="A15" s="82" t="s">
        <v>186</v>
      </c>
      <c r="B15" s="80"/>
      <c r="C15" s="80"/>
      <c r="D15" s="81"/>
      <c r="E15" s="82" t="s">
        <v>186</v>
      </c>
      <c r="F15" s="7" t="str">
        <f t="shared" si="0"/>
        <v/>
      </c>
      <c r="G15" s="269" t="str">
        <f t="shared" si="1"/>
        <v/>
      </c>
    </row>
    <row r="16" spans="1:7" ht="19.5" customHeight="1">
      <c r="A16" s="82" t="s">
        <v>186</v>
      </c>
      <c r="B16" s="80"/>
      <c r="C16" s="80"/>
      <c r="D16" s="81"/>
      <c r="E16" s="82" t="s">
        <v>186</v>
      </c>
      <c r="F16" s="7" t="str">
        <f t="shared" si="0"/>
        <v/>
      </c>
      <c r="G16" s="269" t="str">
        <f t="shared" si="1"/>
        <v/>
      </c>
    </row>
    <row r="17" spans="1:7" ht="19.5" customHeight="1">
      <c r="A17" s="82" t="s">
        <v>186</v>
      </c>
      <c r="B17" s="80"/>
      <c r="C17" s="80"/>
      <c r="D17" s="81"/>
      <c r="E17" s="82" t="s">
        <v>186</v>
      </c>
      <c r="F17" s="7" t="str">
        <f t="shared" si="0"/>
        <v/>
      </c>
      <c r="G17" s="269" t="str">
        <f t="shared" si="1"/>
        <v/>
      </c>
    </row>
  </sheetData>
  <phoneticPr fontId="20"/>
  <dataValidations count="2">
    <dataValidation type="list" allowBlank="1" showInputMessage="1" sqref="A5:A17" xr:uid="{00000000-0002-0000-1500-000000000000}">
      <formula1>媒体</formula1>
    </dataValidation>
    <dataValidation type="list" allowBlank="1" showInputMessage="1" sqref="E5:E17" xr:uid="{00000000-0002-0000-1500-000001000000}">
      <formula1>IF($A5="Google",G_マッチタイプ,IF($A5="Yahoo!",Y_マッチタイプ,選択肢なし))</formula1>
    </dataValidation>
  </dataValidations>
  <pageMargins left="0.7" right="0.7" top="0.75" bottom="0.75" header="0.3" footer="0.3"/>
  <pageSetup paperSize="9"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theme="5" tint="0.79998168889431442"/>
    <pageSetUpPr fitToPage="1"/>
  </sheetPr>
  <dimension ref="A1:K32"/>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2" width="15.77734375" style="2" customWidth="1"/>
    <col min="3" max="5" width="15.77734375" style="1" customWidth="1"/>
    <col min="6" max="6" width="11.44140625" style="97" customWidth="1"/>
    <col min="7" max="7" width="10" style="1" bestFit="1" customWidth="1"/>
    <col min="8" max="11" width="12.88671875" style="1" customWidth="1"/>
    <col min="12" max="16384" width="8.88671875" style="1"/>
  </cols>
  <sheetData>
    <row r="1" spans="1:11" ht="19.5" customHeight="1">
      <c r="A1" s="114" t="str">
        <f>"Ver."&amp;変更履歴!$B$1</f>
        <v>Ver.10.1</v>
      </c>
    </row>
    <row r="2" spans="1:11" ht="19.5" customHeight="1">
      <c r="A2" s="4" t="s">
        <v>411</v>
      </c>
      <c r="B2" s="4"/>
    </row>
    <row r="3" spans="1:11" ht="19.5" customHeight="1">
      <c r="A3" s="6"/>
      <c r="F3" s="1"/>
      <c r="G3" s="97"/>
      <c r="H3" s="267" t="s">
        <v>1300</v>
      </c>
      <c r="I3" s="267" t="s">
        <v>1300</v>
      </c>
      <c r="J3" s="267" t="s">
        <v>1300</v>
      </c>
      <c r="K3" s="267" t="s">
        <v>1300</v>
      </c>
    </row>
    <row r="4" spans="1:11" s="2" customFormat="1" ht="39.950000000000003" customHeight="1">
      <c r="A4" s="55" t="s">
        <v>18</v>
      </c>
      <c r="B4" s="55" t="s">
        <v>28</v>
      </c>
      <c r="C4" s="57" t="s">
        <v>412</v>
      </c>
      <c r="D4" s="57" t="s">
        <v>2117</v>
      </c>
      <c r="E4" s="57" t="s">
        <v>2118</v>
      </c>
      <c r="F4" s="171" t="s">
        <v>1320</v>
      </c>
      <c r="G4" s="171" t="s">
        <v>1321</v>
      </c>
      <c r="H4" s="274" t="s">
        <v>1317</v>
      </c>
      <c r="I4" s="171" t="s">
        <v>1395</v>
      </c>
      <c r="J4" s="171" t="s">
        <v>1318</v>
      </c>
      <c r="K4" s="171" t="s">
        <v>1319</v>
      </c>
    </row>
    <row r="5" spans="1:11" ht="19.5" customHeight="1">
      <c r="A5" s="82" t="s">
        <v>186</v>
      </c>
      <c r="B5" s="80"/>
      <c r="C5" s="82" t="s">
        <v>186</v>
      </c>
      <c r="D5" s="81"/>
      <c r="E5" s="81"/>
      <c r="F5" s="80" t="s">
        <v>186</v>
      </c>
      <c r="G5" s="275"/>
      <c r="H5" s="7" t="str">
        <f t="shared" ref="H5:H32" si="0">IF(F5="引き上げ率",G5,IF(F5="引き下げ率",G5*-1,""))</f>
        <v/>
      </c>
      <c r="I5" s="7" t="e">
        <f>IF(ISERROR(VLOOKUP(D5,ID変換!$C$3:$C$50,1,FALSE)),VLOOKUP(D5,ID変換!$B$3:$D$50,2,FALSE),VLOOKUP(D5,ID変換!$C$3:$C$50,1,FALSE))</f>
        <v>#N/A</v>
      </c>
      <c r="J5" s="7" t="e">
        <f>IF(ISERROR(VLOOKUP($D5,ID変換!$C$3:$D$50,2,FALSE)),VLOOKUP(D5,ID変換!$B$3:$D$50,3,FALSE),(VLOOKUP($D5,ID変換!$C$3:$D$50,2,FALSE)))</f>
        <v>#N/A</v>
      </c>
      <c r="K5" s="7" t="str">
        <f>IF(A5="Google",IF(C5="除外","Negative",""),"")</f>
        <v/>
      </c>
    </row>
    <row r="6" spans="1:11" ht="19.5" customHeight="1">
      <c r="A6" s="82" t="s">
        <v>186</v>
      </c>
      <c r="B6" s="80"/>
      <c r="C6" s="82" t="s">
        <v>186</v>
      </c>
      <c r="D6" s="81"/>
      <c r="E6" s="81"/>
      <c r="F6" s="80" t="s">
        <v>186</v>
      </c>
      <c r="G6" s="275"/>
      <c r="H6" s="7" t="str">
        <f t="shared" si="0"/>
        <v/>
      </c>
      <c r="I6" s="7" t="e">
        <f>IF(ISERROR(VLOOKUP(D6,ID変換!$C$3:$C$50,1,FALSE)),VLOOKUP(D6,ID変換!$B$3:$D$50,2,FALSE),VLOOKUP(D6,ID変換!$C$3:$C$50,1,FALSE))</f>
        <v>#N/A</v>
      </c>
      <c r="J6" s="7" t="e">
        <f>IF(ISERROR(VLOOKUP($D6,ID変換!$C$3:$D$50,2,FALSE)),VLOOKUP(D6,ID変換!$B$3:$D$50,3,FALSE),(VLOOKUP($D6,ID変換!$C$3:$D$50,2,FALSE)))</f>
        <v>#N/A</v>
      </c>
      <c r="K6" s="7" t="str">
        <f t="shared" ref="K6:K32" si="1">IF(A6="Google",IF(C6="除外","Negative",""),"")</f>
        <v/>
      </c>
    </row>
    <row r="7" spans="1:11" ht="19.5" customHeight="1">
      <c r="A7" s="82" t="s">
        <v>186</v>
      </c>
      <c r="B7" s="80"/>
      <c r="C7" s="82" t="s">
        <v>186</v>
      </c>
      <c r="D7" s="81"/>
      <c r="E7" s="81"/>
      <c r="F7" s="80" t="s">
        <v>186</v>
      </c>
      <c r="G7" s="275"/>
      <c r="H7" s="7" t="str">
        <f t="shared" si="0"/>
        <v/>
      </c>
      <c r="I7" s="7" t="e">
        <f>IF(ISERROR(VLOOKUP(D7,ID変換!$C$3:$C$50,1,FALSE)),VLOOKUP(D7,ID変換!$B$3:$D$50,2,FALSE),VLOOKUP(D7,ID変換!$C$3:$C$50,1,FALSE))</f>
        <v>#N/A</v>
      </c>
      <c r="J7" s="7" t="e">
        <f>IF(ISERROR(VLOOKUP($D7,ID変換!$C$3:$D$50,2,FALSE)),VLOOKUP(D7,ID変換!$B$3:$D$50,3,FALSE),(VLOOKUP($D7,ID変換!$C$3:$D$50,2,FALSE)))</f>
        <v>#N/A</v>
      </c>
      <c r="K7" s="7" t="str">
        <f t="shared" si="1"/>
        <v/>
      </c>
    </row>
    <row r="8" spans="1:11" ht="19.5" customHeight="1">
      <c r="A8" s="82" t="s">
        <v>186</v>
      </c>
      <c r="B8" s="80"/>
      <c r="C8" s="82" t="s">
        <v>186</v>
      </c>
      <c r="D8" s="81"/>
      <c r="E8" s="81"/>
      <c r="F8" s="80" t="s">
        <v>186</v>
      </c>
      <c r="G8" s="275"/>
      <c r="H8" s="7" t="str">
        <f t="shared" si="0"/>
        <v/>
      </c>
      <c r="I8" s="7" t="e">
        <f>IF(ISERROR(VLOOKUP(D8,ID変換!$C$3:$C$50,1,FALSE)),VLOOKUP(D8,ID変換!$B$3:$D$50,2,FALSE),VLOOKUP(D8,ID変換!$C$3:$C$50,1,FALSE))</f>
        <v>#N/A</v>
      </c>
      <c r="J8" s="7" t="e">
        <f>IF(ISERROR(VLOOKUP($D8,ID変換!$C$3:$D$50,2,FALSE)),VLOOKUP(D8,ID変換!$B$3:$D$50,3,FALSE),(VLOOKUP($D8,ID変換!$C$3:$D$50,2,FALSE)))</f>
        <v>#N/A</v>
      </c>
      <c r="K8" s="7" t="str">
        <f t="shared" si="1"/>
        <v/>
      </c>
    </row>
    <row r="9" spans="1:11" ht="19.5" customHeight="1">
      <c r="A9" s="82" t="s">
        <v>186</v>
      </c>
      <c r="B9" s="80"/>
      <c r="C9" s="82" t="s">
        <v>186</v>
      </c>
      <c r="D9" s="81"/>
      <c r="E9" s="81"/>
      <c r="F9" s="80" t="s">
        <v>186</v>
      </c>
      <c r="G9" s="275"/>
      <c r="H9" s="7" t="str">
        <f t="shared" si="0"/>
        <v/>
      </c>
      <c r="I9" s="7" t="e">
        <f>IF(ISERROR(VLOOKUP(D9,ID変換!$C$3:$C$50,1,FALSE)),VLOOKUP(D9,ID変換!$B$3:$D$50,2,FALSE),VLOOKUP(D9,ID変換!$C$3:$C$50,1,FALSE))</f>
        <v>#N/A</v>
      </c>
      <c r="J9" s="7" t="e">
        <f>IF(ISERROR(VLOOKUP($D9,ID変換!$C$3:$D$50,2,FALSE)),VLOOKUP(D9,ID変換!$B$3:$D$50,3,FALSE),(VLOOKUP($D9,ID変換!$C$3:$D$50,2,FALSE)))</f>
        <v>#N/A</v>
      </c>
      <c r="K9" s="7" t="str">
        <f t="shared" si="1"/>
        <v/>
      </c>
    </row>
    <row r="10" spans="1:11" ht="19.5" customHeight="1">
      <c r="A10" s="82" t="s">
        <v>186</v>
      </c>
      <c r="B10" s="80"/>
      <c r="C10" s="82" t="s">
        <v>186</v>
      </c>
      <c r="D10" s="81"/>
      <c r="E10" s="81"/>
      <c r="F10" s="80" t="s">
        <v>186</v>
      </c>
      <c r="G10" s="275"/>
      <c r="H10" s="7" t="str">
        <f t="shared" si="0"/>
        <v/>
      </c>
      <c r="I10" s="7" t="e">
        <f>IF(ISERROR(VLOOKUP(D10,ID変換!$C$3:$C$50,1,FALSE)),VLOOKUP(D10,ID変換!$B$3:$D$50,2,FALSE),VLOOKUP(D10,ID変換!$C$3:$C$50,1,FALSE))</f>
        <v>#N/A</v>
      </c>
      <c r="J10" s="7" t="e">
        <f>IF(ISERROR(VLOOKUP($D10,ID変換!$C$3:$D$50,2,FALSE)),VLOOKUP(D10,ID変換!$B$3:$D$50,3,FALSE),(VLOOKUP($D10,ID変換!$C$3:$D$50,2,FALSE)))</f>
        <v>#N/A</v>
      </c>
      <c r="K10" s="7" t="str">
        <f t="shared" si="1"/>
        <v/>
      </c>
    </row>
    <row r="11" spans="1:11" ht="19.5" customHeight="1">
      <c r="A11" s="82" t="s">
        <v>186</v>
      </c>
      <c r="B11" s="80"/>
      <c r="C11" s="82" t="s">
        <v>186</v>
      </c>
      <c r="D11" s="81"/>
      <c r="E11" s="81"/>
      <c r="F11" s="80" t="s">
        <v>186</v>
      </c>
      <c r="G11" s="275"/>
      <c r="H11" s="7" t="str">
        <f t="shared" si="0"/>
        <v/>
      </c>
      <c r="I11" s="7" t="e">
        <f>IF(ISERROR(VLOOKUP(D11,ID変換!$C$3:$C$50,1,FALSE)),VLOOKUP(D11,ID変換!$B$3:$D$50,2,FALSE),VLOOKUP(D11,ID変換!$C$3:$C$50,1,FALSE))</f>
        <v>#N/A</v>
      </c>
      <c r="J11" s="7" t="e">
        <f>IF(ISERROR(VLOOKUP($D11,ID変換!$C$3:$D$50,2,FALSE)),VLOOKUP(D11,ID変換!$B$3:$D$50,3,FALSE),(VLOOKUP($D11,ID変換!$C$3:$D$50,2,FALSE)))</f>
        <v>#N/A</v>
      </c>
      <c r="K11" s="7" t="str">
        <f t="shared" si="1"/>
        <v/>
      </c>
    </row>
    <row r="12" spans="1:11" ht="19.5" customHeight="1">
      <c r="A12" s="82" t="s">
        <v>186</v>
      </c>
      <c r="B12" s="80"/>
      <c r="C12" s="82" t="s">
        <v>186</v>
      </c>
      <c r="D12" s="81"/>
      <c r="E12" s="81"/>
      <c r="F12" s="80" t="s">
        <v>186</v>
      </c>
      <c r="G12" s="275"/>
      <c r="H12" s="7" t="str">
        <f t="shared" si="0"/>
        <v/>
      </c>
      <c r="I12" s="7" t="e">
        <f>IF(ISERROR(VLOOKUP(D12,ID変換!$C$3:$C$50,1,FALSE)),VLOOKUP(D12,ID変換!$B$3:$D$50,2,FALSE),VLOOKUP(D12,ID変換!$C$3:$C$50,1,FALSE))</f>
        <v>#N/A</v>
      </c>
      <c r="J12" s="7" t="e">
        <f>IF(ISERROR(VLOOKUP($D12,ID変換!$C$3:$D$50,2,FALSE)),VLOOKUP(D12,ID変換!$B$3:$D$50,3,FALSE),(VLOOKUP($D12,ID変換!$C$3:$D$50,2,FALSE)))</f>
        <v>#N/A</v>
      </c>
      <c r="K12" s="7" t="str">
        <f t="shared" si="1"/>
        <v/>
      </c>
    </row>
    <row r="13" spans="1:11" ht="19.5" customHeight="1">
      <c r="A13" s="82" t="s">
        <v>186</v>
      </c>
      <c r="B13" s="80"/>
      <c r="C13" s="82" t="s">
        <v>186</v>
      </c>
      <c r="D13" s="81"/>
      <c r="E13" s="81"/>
      <c r="F13" s="80" t="s">
        <v>186</v>
      </c>
      <c r="G13" s="275"/>
      <c r="H13" s="7" t="str">
        <f t="shared" si="0"/>
        <v/>
      </c>
      <c r="I13" s="7" t="e">
        <f>IF(ISERROR(VLOOKUP(D13,ID変換!$C$3:$C$50,1,FALSE)),VLOOKUP(D13,ID変換!$B$3:$D$50,2,FALSE),VLOOKUP(D13,ID変換!$C$3:$C$50,1,FALSE))</f>
        <v>#N/A</v>
      </c>
      <c r="J13" s="7" t="e">
        <f>IF(ISERROR(VLOOKUP($D13,ID変換!$C$3:$D$50,2,FALSE)),VLOOKUP(D13,ID変換!$B$3:$D$50,3,FALSE),(VLOOKUP($D13,ID変換!$C$3:$D$50,2,FALSE)))</f>
        <v>#N/A</v>
      </c>
      <c r="K13" s="7" t="str">
        <f t="shared" si="1"/>
        <v/>
      </c>
    </row>
    <row r="14" spans="1:11" ht="19.5" customHeight="1">
      <c r="A14" s="82" t="s">
        <v>186</v>
      </c>
      <c r="B14" s="80"/>
      <c r="C14" s="82" t="s">
        <v>186</v>
      </c>
      <c r="D14" s="81"/>
      <c r="E14" s="81"/>
      <c r="F14" s="80" t="s">
        <v>186</v>
      </c>
      <c r="G14" s="275"/>
      <c r="H14" s="7" t="str">
        <f t="shared" si="0"/>
        <v/>
      </c>
      <c r="I14" s="7" t="e">
        <f>IF(ISERROR(VLOOKUP(D14,ID変換!$C$3:$C$50,1,FALSE)),VLOOKUP(D14,ID変換!$B$3:$D$50,2,FALSE),VLOOKUP(D14,ID変換!$C$3:$C$50,1,FALSE))</f>
        <v>#N/A</v>
      </c>
      <c r="J14" s="7" t="e">
        <f>IF(ISERROR(VLOOKUP($D14,ID変換!$C$3:$D$50,2,FALSE)),VLOOKUP(D14,ID変換!$B$3:$D$50,3,FALSE),(VLOOKUP($D14,ID変換!$C$3:$D$50,2,FALSE)))</f>
        <v>#N/A</v>
      </c>
      <c r="K14" s="7" t="str">
        <f t="shared" si="1"/>
        <v/>
      </c>
    </row>
    <row r="15" spans="1:11" ht="19.5" customHeight="1">
      <c r="A15" s="82" t="s">
        <v>186</v>
      </c>
      <c r="B15" s="80"/>
      <c r="C15" s="82" t="s">
        <v>186</v>
      </c>
      <c r="D15" s="81"/>
      <c r="E15" s="81"/>
      <c r="F15" s="80" t="s">
        <v>186</v>
      </c>
      <c r="G15" s="275"/>
      <c r="H15" s="7" t="str">
        <f t="shared" si="0"/>
        <v/>
      </c>
      <c r="I15" s="7" t="e">
        <f>IF(ISERROR(VLOOKUP(D15,ID変換!$C$3:$C$50,1,FALSE)),VLOOKUP(D15,ID変換!$B$3:$D$50,2,FALSE),VLOOKUP(D15,ID変換!$C$3:$C$50,1,FALSE))</f>
        <v>#N/A</v>
      </c>
      <c r="J15" s="7" t="e">
        <f>IF(ISERROR(VLOOKUP($D15,ID変換!$C$3:$D$50,2,FALSE)),VLOOKUP(D15,ID変換!$B$3:$D$50,3,FALSE),(VLOOKUP($D15,ID変換!$C$3:$D$50,2,FALSE)))</f>
        <v>#N/A</v>
      </c>
      <c r="K15" s="7" t="str">
        <f t="shared" si="1"/>
        <v/>
      </c>
    </row>
    <row r="16" spans="1:11" ht="19.5" customHeight="1">
      <c r="A16" s="82" t="s">
        <v>186</v>
      </c>
      <c r="B16" s="80"/>
      <c r="C16" s="82" t="s">
        <v>186</v>
      </c>
      <c r="D16" s="81"/>
      <c r="E16" s="81"/>
      <c r="F16" s="80" t="s">
        <v>186</v>
      </c>
      <c r="G16" s="275"/>
      <c r="H16" s="7" t="str">
        <f t="shared" si="0"/>
        <v/>
      </c>
      <c r="I16" s="7" t="e">
        <f>IF(ISERROR(VLOOKUP(D16,ID変換!$C$3:$C$50,1,FALSE)),VLOOKUP(D16,ID変換!$B$3:$D$50,2,FALSE),VLOOKUP(D16,ID変換!$C$3:$C$50,1,FALSE))</f>
        <v>#N/A</v>
      </c>
      <c r="J16" s="7" t="e">
        <f>IF(ISERROR(VLOOKUP($D16,ID変換!$C$3:$D$50,2,FALSE)),VLOOKUP(D16,ID変換!$B$3:$D$50,3,FALSE),(VLOOKUP($D16,ID変換!$C$3:$D$50,2,FALSE)))</f>
        <v>#N/A</v>
      </c>
      <c r="K16" s="7" t="str">
        <f t="shared" si="1"/>
        <v/>
      </c>
    </row>
    <row r="17" spans="1:11" ht="19.5" customHeight="1">
      <c r="A17" s="82" t="s">
        <v>186</v>
      </c>
      <c r="B17" s="80"/>
      <c r="C17" s="82" t="s">
        <v>186</v>
      </c>
      <c r="D17" s="81"/>
      <c r="E17" s="81"/>
      <c r="F17" s="80" t="s">
        <v>186</v>
      </c>
      <c r="G17" s="275"/>
      <c r="H17" s="7" t="str">
        <f t="shared" si="0"/>
        <v/>
      </c>
      <c r="I17" s="7" t="e">
        <f>IF(ISERROR(VLOOKUP(D17,ID変換!$C$3:$C$50,1,FALSE)),VLOOKUP(D17,ID変換!$B$3:$D$50,2,FALSE),VLOOKUP(D17,ID変換!$C$3:$C$50,1,FALSE))</f>
        <v>#N/A</v>
      </c>
      <c r="J17" s="7" t="e">
        <f>IF(ISERROR(VLOOKUP($D17,ID変換!$C$3:$D$50,2,FALSE)),VLOOKUP(D17,ID変換!$B$3:$D$50,3,FALSE),(VLOOKUP($D17,ID変換!$C$3:$D$50,2,FALSE)))</f>
        <v>#N/A</v>
      </c>
      <c r="K17" s="7" t="str">
        <f t="shared" si="1"/>
        <v/>
      </c>
    </row>
    <row r="18" spans="1:11" ht="19.5" customHeight="1">
      <c r="A18" s="82" t="s">
        <v>186</v>
      </c>
      <c r="B18" s="80"/>
      <c r="C18" s="82" t="s">
        <v>186</v>
      </c>
      <c r="D18" s="81"/>
      <c r="E18" s="81"/>
      <c r="F18" s="80" t="s">
        <v>186</v>
      </c>
      <c r="G18" s="275"/>
      <c r="H18" s="7" t="str">
        <f t="shared" si="0"/>
        <v/>
      </c>
      <c r="I18" s="7" t="e">
        <f>IF(ISERROR(VLOOKUP(D18,ID変換!$C$3:$C$50,1,FALSE)),VLOOKUP(D18,ID変換!$B$3:$D$50,2,FALSE),VLOOKUP(D18,ID変換!$C$3:$C$50,1,FALSE))</f>
        <v>#N/A</v>
      </c>
      <c r="J18" s="7" t="e">
        <f>IF(ISERROR(VLOOKUP($D18,ID変換!$C$3:$D$50,2,FALSE)),VLOOKUP(D18,ID変換!$B$3:$D$50,3,FALSE),(VLOOKUP($D18,ID変換!$C$3:$D$50,2,FALSE)))</f>
        <v>#N/A</v>
      </c>
      <c r="K18" s="7" t="str">
        <f t="shared" si="1"/>
        <v/>
      </c>
    </row>
    <row r="19" spans="1:11" ht="19.5" customHeight="1">
      <c r="A19" s="82" t="s">
        <v>186</v>
      </c>
      <c r="B19" s="80"/>
      <c r="C19" s="82" t="s">
        <v>186</v>
      </c>
      <c r="D19" s="81"/>
      <c r="E19" s="81"/>
      <c r="F19" s="80" t="s">
        <v>186</v>
      </c>
      <c r="G19" s="275"/>
      <c r="H19" s="7" t="str">
        <f t="shared" si="0"/>
        <v/>
      </c>
      <c r="I19" s="7" t="e">
        <f>IF(ISERROR(VLOOKUP(D19,ID変換!$C$3:$C$50,1,FALSE)),VLOOKUP(D19,ID変換!$B$3:$D$50,2,FALSE),VLOOKUP(D19,ID変換!$C$3:$C$50,1,FALSE))</f>
        <v>#N/A</v>
      </c>
      <c r="J19" s="7" t="e">
        <f>IF(ISERROR(VLOOKUP($D19,ID変換!$C$3:$D$50,2,FALSE)),VLOOKUP(D19,ID変換!$B$3:$D$50,3,FALSE),(VLOOKUP($D19,ID変換!$C$3:$D$50,2,FALSE)))</f>
        <v>#N/A</v>
      </c>
      <c r="K19" s="7" t="str">
        <f t="shared" si="1"/>
        <v/>
      </c>
    </row>
    <row r="20" spans="1:11" ht="19.5" customHeight="1">
      <c r="A20" s="82" t="s">
        <v>186</v>
      </c>
      <c r="B20" s="80"/>
      <c r="C20" s="82" t="s">
        <v>186</v>
      </c>
      <c r="D20" s="81"/>
      <c r="E20" s="81"/>
      <c r="F20" s="80" t="s">
        <v>186</v>
      </c>
      <c r="G20" s="275"/>
      <c r="H20" s="7" t="str">
        <f t="shared" si="0"/>
        <v/>
      </c>
      <c r="I20" s="7" t="e">
        <f>IF(ISERROR(VLOOKUP(D20,ID変換!$C$3:$C$50,1,FALSE)),VLOOKUP(D20,ID変換!$B$3:$D$50,2,FALSE),VLOOKUP(D20,ID変換!$C$3:$C$50,1,FALSE))</f>
        <v>#N/A</v>
      </c>
      <c r="J20" s="7" t="e">
        <f>IF(ISERROR(VLOOKUP($D20,ID変換!$C$3:$D$50,2,FALSE)),VLOOKUP(D20,ID変換!$B$3:$D$50,3,FALSE),(VLOOKUP($D20,ID変換!$C$3:$D$50,2,FALSE)))</f>
        <v>#N/A</v>
      </c>
      <c r="K20" s="7" t="str">
        <f t="shared" si="1"/>
        <v/>
      </c>
    </row>
    <row r="21" spans="1:11" ht="19.5" customHeight="1">
      <c r="A21" s="82" t="s">
        <v>186</v>
      </c>
      <c r="B21" s="80"/>
      <c r="C21" s="82" t="s">
        <v>186</v>
      </c>
      <c r="D21" s="81"/>
      <c r="E21" s="81"/>
      <c r="F21" s="80" t="s">
        <v>186</v>
      </c>
      <c r="G21" s="275"/>
      <c r="H21" s="7" t="str">
        <f t="shared" si="0"/>
        <v/>
      </c>
      <c r="I21" s="7" t="e">
        <f>IF(ISERROR(VLOOKUP(D21,ID変換!$C$3:$C$50,1,FALSE)),VLOOKUP(D21,ID変換!$B$3:$D$50,2,FALSE),VLOOKUP(D21,ID変換!$C$3:$C$50,1,FALSE))</f>
        <v>#N/A</v>
      </c>
      <c r="J21" s="7" t="e">
        <f>IF(ISERROR(VLOOKUP($D21,ID変換!$C$3:$D$50,2,FALSE)),VLOOKUP(D21,ID変換!$B$3:$D$50,3,FALSE),(VLOOKUP($D21,ID変換!$C$3:$D$50,2,FALSE)))</f>
        <v>#N/A</v>
      </c>
      <c r="K21" s="7" t="str">
        <f t="shared" si="1"/>
        <v/>
      </c>
    </row>
    <row r="22" spans="1:11" ht="19.5" customHeight="1">
      <c r="A22" s="82" t="s">
        <v>186</v>
      </c>
      <c r="B22" s="80"/>
      <c r="C22" s="82" t="s">
        <v>186</v>
      </c>
      <c r="D22" s="81"/>
      <c r="E22" s="81"/>
      <c r="F22" s="80" t="s">
        <v>186</v>
      </c>
      <c r="G22" s="275"/>
      <c r="H22" s="7" t="str">
        <f t="shared" si="0"/>
        <v/>
      </c>
      <c r="I22" s="7" t="e">
        <f>IF(ISERROR(VLOOKUP(D22,ID変換!$C$3:$C$50,1,FALSE)),VLOOKUP(D22,ID変換!$B$3:$D$50,2,FALSE),VLOOKUP(D22,ID変換!$C$3:$C$50,1,FALSE))</f>
        <v>#N/A</v>
      </c>
      <c r="J22" s="7" t="e">
        <f>IF(ISERROR(VLOOKUP($D22,ID変換!$C$3:$D$50,2,FALSE)),VLOOKUP(D22,ID変換!$B$3:$D$50,3,FALSE),(VLOOKUP($D22,ID変換!$C$3:$D$50,2,FALSE)))</f>
        <v>#N/A</v>
      </c>
      <c r="K22" s="7" t="str">
        <f t="shared" si="1"/>
        <v/>
      </c>
    </row>
    <row r="23" spans="1:11" ht="19.5" customHeight="1">
      <c r="A23" s="82" t="s">
        <v>186</v>
      </c>
      <c r="B23" s="80"/>
      <c r="C23" s="82" t="s">
        <v>186</v>
      </c>
      <c r="D23" s="81"/>
      <c r="E23" s="81"/>
      <c r="F23" s="80" t="s">
        <v>186</v>
      </c>
      <c r="G23" s="275"/>
      <c r="H23" s="7" t="str">
        <f t="shared" si="0"/>
        <v/>
      </c>
      <c r="I23" s="7" t="e">
        <f>IF(ISERROR(VLOOKUP(D23,ID変換!$C$3:$C$50,1,FALSE)),VLOOKUP(D23,ID変換!$B$3:$D$50,2,FALSE),VLOOKUP(D23,ID変換!$C$3:$C$50,1,FALSE))</f>
        <v>#N/A</v>
      </c>
      <c r="J23" s="7" t="e">
        <f>IF(ISERROR(VLOOKUP($D23,ID変換!$C$3:$D$50,2,FALSE)),VLOOKUP(D23,ID変換!$B$3:$D$50,3,FALSE),(VLOOKUP($D23,ID変換!$C$3:$D$50,2,FALSE)))</f>
        <v>#N/A</v>
      </c>
      <c r="K23" s="7" t="str">
        <f t="shared" si="1"/>
        <v/>
      </c>
    </row>
    <row r="24" spans="1:11" ht="19.5" customHeight="1">
      <c r="A24" s="82" t="s">
        <v>186</v>
      </c>
      <c r="B24" s="80"/>
      <c r="C24" s="82" t="s">
        <v>186</v>
      </c>
      <c r="D24" s="81"/>
      <c r="E24" s="81"/>
      <c r="F24" s="80" t="s">
        <v>186</v>
      </c>
      <c r="G24" s="275"/>
      <c r="H24" s="7" t="str">
        <f t="shared" si="0"/>
        <v/>
      </c>
      <c r="I24" s="7" t="e">
        <f>IF(ISERROR(VLOOKUP(D24,ID変換!$C$3:$C$50,1,FALSE)),VLOOKUP(D24,ID変換!$B$3:$D$50,2,FALSE),VLOOKUP(D24,ID変換!$C$3:$C$50,1,FALSE))</f>
        <v>#N/A</v>
      </c>
      <c r="J24" s="7" t="e">
        <f>IF(ISERROR(VLOOKUP($D24,ID変換!$C$3:$D$50,2,FALSE)),VLOOKUP(D24,ID変換!$B$3:$D$50,3,FALSE),(VLOOKUP($D24,ID変換!$C$3:$D$50,2,FALSE)))</f>
        <v>#N/A</v>
      </c>
      <c r="K24" s="7" t="str">
        <f t="shared" si="1"/>
        <v/>
      </c>
    </row>
    <row r="25" spans="1:11" ht="19.5" customHeight="1">
      <c r="A25" s="82" t="s">
        <v>186</v>
      </c>
      <c r="B25" s="80"/>
      <c r="C25" s="82" t="s">
        <v>186</v>
      </c>
      <c r="D25" s="81"/>
      <c r="E25" s="81"/>
      <c r="F25" s="80" t="s">
        <v>186</v>
      </c>
      <c r="G25" s="275"/>
      <c r="H25" s="7" t="str">
        <f t="shared" si="0"/>
        <v/>
      </c>
      <c r="I25" s="7" t="e">
        <f>IF(ISERROR(VLOOKUP(D25,ID変換!$C$3:$C$50,1,FALSE)),VLOOKUP(D25,ID変換!$B$3:$D$50,2,FALSE),VLOOKUP(D25,ID変換!$C$3:$C$50,1,FALSE))</f>
        <v>#N/A</v>
      </c>
      <c r="J25" s="7" t="e">
        <f>IF(ISERROR(VLOOKUP($D25,ID変換!$C$3:$D$50,2,FALSE)),VLOOKUP(D25,ID変換!$B$3:$D$50,3,FALSE),(VLOOKUP($D25,ID変換!$C$3:$D$50,2,FALSE)))</f>
        <v>#N/A</v>
      </c>
      <c r="K25" s="7" t="str">
        <f t="shared" si="1"/>
        <v/>
      </c>
    </row>
    <row r="26" spans="1:11" ht="19.5" customHeight="1">
      <c r="A26" s="82" t="s">
        <v>186</v>
      </c>
      <c r="B26" s="80"/>
      <c r="C26" s="82" t="s">
        <v>186</v>
      </c>
      <c r="D26" s="81"/>
      <c r="E26" s="81"/>
      <c r="F26" s="80" t="s">
        <v>186</v>
      </c>
      <c r="G26" s="275"/>
      <c r="H26" s="7" t="str">
        <f t="shared" si="0"/>
        <v/>
      </c>
      <c r="I26" s="7" t="e">
        <f>IF(ISERROR(VLOOKUP(D26,ID変換!$C$3:$C$50,1,FALSE)),VLOOKUP(D26,ID変換!$B$3:$D$50,2,FALSE),VLOOKUP(D26,ID変換!$C$3:$C$50,1,FALSE))</f>
        <v>#N/A</v>
      </c>
      <c r="J26" s="7" t="e">
        <f>IF(ISERROR(VLOOKUP($D26,ID変換!$C$3:$D$50,2,FALSE)),VLOOKUP(D26,ID変換!$B$3:$D$50,3,FALSE),(VLOOKUP($D26,ID変換!$C$3:$D$50,2,FALSE)))</f>
        <v>#N/A</v>
      </c>
      <c r="K26" s="7" t="str">
        <f t="shared" si="1"/>
        <v/>
      </c>
    </row>
    <row r="27" spans="1:11" ht="19.5" customHeight="1">
      <c r="A27" s="82" t="s">
        <v>186</v>
      </c>
      <c r="B27" s="80"/>
      <c r="C27" s="82" t="s">
        <v>186</v>
      </c>
      <c r="D27" s="81"/>
      <c r="E27" s="81"/>
      <c r="F27" s="80" t="s">
        <v>186</v>
      </c>
      <c r="G27" s="275"/>
      <c r="H27" s="7" t="str">
        <f t="shared" si="0"/>
        <v/>
      </c>
      <c r="I27" s="7" t="e">
        <f>IF(ISERROR(VLOOKUP(D27,ID変換!$C$3:$C$50,1,FALSE)),VLOOKUP(D27,ID変換!$B$3:$D$50,2,FALSE),VLOOKUP(D27,ID変換!$C$3:$C$50,1,FALSE))</f>
        <v>#N/A</v>
      </c>
      <c r="J27" s="7" t="e">
        <f>IF(ISERROR(VLOOKUP($D27,ID変換!$C$3:$D$50,2,FALSE)),VLOOKUP(D27,ID変換!$B$3:$D$50,3,FALSE),(VLOOKUP($D27,ID変換!$C$3:$D$50,2,FALSE)))</f>
        <v>#N/A</v>
      </c>
      <c r="K27" s="7" t="str">
        <f t="shared" si="1"/>
        <v/>
      </c>
    </row>
    <row r="28" spans="1:11" ht="19.5" customHeight="1">
      <c r="A28" s="82" t="s">
        <v>186</v>
      </c>
      <c r="B28" s="80"/>
      <c r="C28" s="82" t="s">
        <v>186</v>
      </c>
      <c r="D28" s="81"/>
      <c r="E28" s="81"/>
      <c r="F28" s="80" t="s">
        <v>186</v>
      </c>
      <c r="G28" s="275"/>
      <c r="H28" s="7" t="str">
        <f t="shared" si="0"/>
        <v/>
      </c>
      <c r="I28" s="7" t="e">
        <f>IF(ISERROR(VLOOKUP(D28,ID変換!$C$3:$C$50,1,FALSE)),VLOOKUP(D28,ID変換!$B$3:$D$50,2,FALSE),VLOOKUP(D28,ID変換!$C$3:$C$50,1,FALSE))</f>
        <v>#N/A</v>
      </c>
      <c r="J28" s="7" t="e">
        <f>IF(ISERROR(VLOOKUP($D28,ID変換!$C$3:$D$50,2,FALSE)),VLOOKUP(D28,ID変換!$B$3:$D$50,3,FALSE),(VLOOKUP($D28,ID変換!$C$3:$D$50,2,FALSE)))</f>
        <v>#N/A</v>
      </c>
      <c r="K28" s="7" t="str">
        <f t="shared" si="1"/>
        <v/>
      </c>
    </row>
    <row r="29" spans="1:11" ht="19.5" customHeight="1">
      <c r="A29" s="82" t="s">
        <v>186</v>
      </c>
      <c r="B29" s="80"/>
      <c r="C29" s="82" t="s">
        <v>186</v>
      </c>
      <c r="D29" s="81"/>
      <c r="E29" s="81"/>
      <c r="F29" s="80" t="s">
        <v>186</v>
      </c>
      <c r="G29" s="275"/>
      <c r="H29" s="7" t="str">
        <f t="shared" si="0"/>
        <v/>
      </c>
      <c r="I29" s="7" t="e">
        <f>IF(ISERROR(VLOOKUP(D29,ID変換!$C$3:$C$50,1,FALSE)),VLOOKUP(D29,ID変換!$B$3:$D$50,2,FALSE),VLOOKUP(D29,ID変換!$C$3:$C$50,1,FALSE))</f>
        <v>#N/A</v>
      </c>
      <c r="J29" s="7" t="e">
        <f>IF(ISERROR(VLOOKUP($D29,ID変換!$C$3:$D$50,2,FALSE)),VLOOKUP(D29,ID変換!$B$3:$D$50,3,FALSE),(VLOOKUP($D29,ID変換!$C$3:$D$50,2,FALSE)))</f>
        <v>#N/A</v>
      </c>
      <c r="K29" s="7" t="str">
        <f t="shared" si="1"/>
        <v/>
      </c>
    </row>
    <row r="30" spans="1:11" ht="19.5" customHeight="1">
      <c r="A30" s="82" t="s">
        <v>186</v>
      </c>
      <c r="B30" s="80"/>
      <c r="C30" s="82" t="s">
        <v>186</v>
      </c>
      <c r="D30" s="81"/>
      <c r="E30" s="81"/>
      <c r="F30" s="80" t="s">
        <v>186</v>
      </c>
      <c r="G30" s="275"/>
      <c r="H30" s="7" t="str">
        <f t="shared" si="0"/>
        <v/>
      </c>
      <c r="I30" s="7" t="e">
        <f>IF(ISERROR(VLOOKUP(D30,ID変換!$C$3:$C$50,1,FALSE)),VLOOKUP(D30,ID変換!$B$3:$D$50,2,FALSE),VLOOKUP(D30,ID変換!$C$3:$C$50,1,FALSE))</f>
        <v>#N/A</v>
      </c>
      <c r="J30" s="7" t="e">
        <f>IF(ISERROR(VLOOKUP($D30,ID変換!$C$3:$D$50,2,FALSE)),VLOOKUP(D30,ID変換!$B$3:$D$50,3,FALSE),(VLOOKUP($D30,ID変換!$C$3:$D$50,2,FALSE)))</f>
        <v>#N/A</v>
      </c>
      <c r="K30" s="7" t="str">
        <f t="shared" si="1"/>
        <v/>
      </c>
    </row>
    <row r="31" spans="1:11" ht="19.5" customHeight="1">
      <c r="A31" s="82" t="s">
        <v>186</v>
      </c>
      <c r="B31" s="80"/>
      <c r="C31" s="82" t="s">
        <v>186</v>
      </c>
      <c r="D31" s="81"/>
      <c r="E31" s="81"/>
      <c r="F31" s="80" t="s">
        <v>186</v>
      </c>
      <c r="G31" s="275"/>
      <c r="H31" s="7" t="str">
        <f t="shared" si="0"/>
        <v/>
      </c>
      <c r="I31" s="7" t="e">
        <f>IF(ISERROR(VLOOKUP(D31,ID変換!$C$3:$C$50,1,FALSE)),VLOOKUP(D31,ID変換!$B$3:$D$50,2,FALSE),VLOOKUP(D31,ID変換!$C$3:$C$50,1,FALSE))</f>
        <v>#N/A</v>
      </c>
      <c r="J31" s="7" t="e">
        <f>IF(ISERROR(VLOOKUP($D31,ID変換!$C$3:$D$50,2,FALSE)),VLOOKUP(D31,ID変換!$B$3:$D$50,3,FALSE),(VLOOKUP($D31,ID変換!$C$3:$D$50,2,FALSE)))</f>
        <v>#N/A</v>
      </c>
      <c r="K31" s="7" t="str">
        <f t="shared" si="1"/>
        <v/>
      </c>
    </row>
    <row r="32" spans="1:11" ht="19.5" customHeight="1">
      <c r="A32" s="82" t="s">
        <v>186</v>
      </c>
      <c r="B32" s="80"/>
      <c r="C32" s="82" t="s">
        <v>186</v>
      </c>
      <c r="D32" s="81"/>
      <c r="E32" s="81"/>
      <c r="F32" s="80" t="s">
        <v>186</v>
      </c>
      <c r="G32" s="275"/>
      <c r="H32" s="7" t="str">
        <f t="shared" si="0"/>
        <v/>
      </c>
      <c r="I32" s="7" t="e">
        <f>IF(ISERROR(VLOOKUP(D32,ID変換!$C$3:$C$50,1,FALSE)),VLOOKUP(D32,ID変換!$B$3:$D$50,2,FALSE),VLOOKUP(D32,ID変換!$C$3:$C$50,1,FALSE))</f>
        <v>#N/A</v>
      </c>
      <c r="J32" s="7" t="e">
        <f>IF(ISERROR(VLOOKUP($D32,ID変換!$C$3:$D$50,2,FALSE)),VLOOKUP(D32,ID変換!$B$3:$D$50,3,FALSE),(VLOOKUP($D32,ID変換!$C$3:$D$50,2,FALSE)))</f>
        <v>#N/A</v>
      </c>
      <c r="K32" s="7" t="str">
        <f t="shared" si="1"/>
        <v/>
      </c>
    </row>
  </sheetData>
  <phoneticPr fontId="20"/>
  <dataValidations count="3">
    <dataValidation type="list" allowBlank="1" showInputMessage="1" sqref="A5:A32" xr:uid="{00000000-0002-0000-1600-000001000000}">
      <formula1>媒体</formula1>
    </dataValidation>
    <dataValidation type="list" allowBlank="1" showInputMessage="1" sqref="C5:C32" xr:uid="{00000000-0002-0000-1600-000002000000}">
      <formula1>配信</formula1>
    </dataValidation>
    <dataValidation type="list" allowBlank="1" showInputMessage="1" showErrorMessage="1" sqref="F5:F32" xr:uid="{00000000-0002-0000-1600-000003000000}">
      <formula1>引き上げ率</formula1>
    </dataValidation>
  </dataValidations>
  <pageMargins left="0.7" right="0.7" top="0.75" bottom="0.75" header="0.3" footer="0.3"/>
  <pageSetup paperSize="9" scale="75"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theme="5" tint="0.79998168889431442"/>
    <pageSetUpPr fitToPage="1"/>
  </sheetPr>
  <dimension ref="A1:H32"/>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2" width="15.77734375" style="2" customWidth="1"/>
    <col min="3" max="5" width="15.77734375" style="1" customWidth="1"/>
    <col min="6" max="6" width="11.77734375" style="97" customWidth="1"/>
    <col min="7" max="7" width="10" style="1" bestFit="1" customWidth="1"/>
    <col min="8" max="8" width="16.77734375" style="1" customWidth="1"/>
    <col min="9" max="16384" width="8.88671875" style="1"/>
  </cols>
  <sheetData>
    <row r="1" spans="1:8" ht="19.5" customHeight="1">
      <c r="A1" s="114" t="str">
        <f>"Ver."&amp;変更履歴!$B$1</f>
        <v>Ver.10.1</v>
      </c>
    </row>
    <row r="2" spans="1:8" ht="19.5" customHeight="1">
      <c r="A2" s="4" t="s">
        <v>415</v>
      </c>
      <c r="B2" s="4"/>
    </row>
    <row r="3" spans="1:8" ht="19.5" customHeight="1">
      <c r="A3" s="6"/>
      <c r="F3" s="1"/>
      <c r="G3" s="97"/>
      <c r="H3" s="267" t="s">
        <v>1300</v>
      </c>
    </row>
    <row r="4" spans="1:8" s="2" customFormat="1" ht="39.950000000000003" customHeight="1">
      <c r="A4" s="55" t="s">
        <v>18</v>
      </c>
      <c r="B4" s="55" t="s">
        <v>28</v>
      </c>
      <c r="C4" s="57" t="s">
        <v>416</v>
      </c>
      <c r="D4" s="56" t="s">
        <v>417</v>
      </c>
      <c r="E4" s="56" t="s">
        <v>418</v>
      </c>
      <c r="F4" s="171" t="s">
        <v>1320</v>
      </c>
      <c r="G4" s="171" t="s">
        <v>1321</v>
      </c>
      <c r="H4" s="274" t="s">
        <v>1317</v>
      </c>
    </row>
    <row r="5" spans="1:8" ht="19.5" customHeight="1">
      <c r="A5" s="82" t="s">
        <v>186</v>
      </c>
      <c r="B5" s="80"/>
      <c r="C5" s="82" t="s">
        <v>186</v>
      </c>
      <c r="D5" s="281"/>
      <c r="E5" s="281"/>
      <c r="F5" s="80" t="s">
        <v>186</v>
      </c>
      <c r="G5" s="283"/>
      <c r="H5" s="7" t="str">
        <f>IF(F5="引き上げ率",G5,IF(F5="引き下げ率",G5*-1,""))</f>
        <v/>
      </c>
    </row>
    <row r="6" spans="1:8" ht="19.5" customHeight="1">
      <c r="A6" s="82" t="s">
        <v>186</v>
      </c>
      <c r="B6" s="80"/>
      <c r="C6" s="82" t="s">
        <v>186</v>
      </c>
      <c r="D6" s="281"/>
      <c r="E6" s="281"/>
      <c r="F6" s="80" t="s">
        <v>186</v>
      </c>
      <c r="G6" s="283"/>
      <c r="H6" s="7" t="str">
        <f t="shared" ref="H6:H31" si="0">IF(F6="引き上げ率",G6,IF(F6="引き下げ率",G6*-1,""))</f>
        <v/>
      </c>
    </row>
    <row r="7" spans="1:8" ht="19.5" customHeight="1">
      <c r="A7" s="82" t="s">
        <v>186</v>
      </c>
      <c r="B7" s="80"/>
      <c r="C7" s="82" t="s">
        <v>186</v>
      </c>
      <c r="D7" s="281"/>
      <c r="E7" s="281"/>
      <c r="F7" s="80" t="s">
        <v>186</v>
      </c>
      <c r="G7" s="283"/>
      <c r="H7" s="7" t="str">
        <f t="shared" si="0"/>
        <v/>
      </c>
    </row>
    <row r="8" spans="1:8" ht="19.5" customHeight="1">
      <c r="A8" s="82" t="s">
        <v>186</v>
      </c>
      <c r="B8" s="80"/>
      <c r="C8" s="82" t="s">
        <v>186</v>
      </c>
      <c r="D8" s="281"/>
      <c r="E8" s="281"/>
      <c r="F8" s="80" t="s">
        <v>186</v>
      </c>
      <c r="G8" s="283"/>
      <c r="H8" s="7" t="str">
        <f t="shared" si="0"/>
        <v/>
      </c>
    </row>
    <row r="9" spans="1:8" ht="19.5" customHeight="1">
      <c r="A9" s="82" t="s">
        <v>186</v>
      </c>
      <c r="B9" s="80"/>
      <c r="C9" s="82" t="s">
        <v>186</v>
      </c>
      <c r="D9" s="281"/>
      <c r="E9" s="281"/>
      <c r="F9" s="80" t="s">
        <v>186</v>
      </c>
      <c r="G9" s="283"/>
      <c r="H9" s="7" t="str">
        <f t="shared" si="0"/>
        <v/>
      </c>
    </row>
    <row r="10" spans="1:8" ht="19.5" customHeight="1">
      <c r="A10" s="82" t="s">
        <v>186</v>
      </c>
      <c r="B10" s="80"/>
      <c r="C10" s="82" t="s">
        <v>186</v>
      </c>
      <c r="D10" s="281"/>
      <c r="E10" s="281"/>
      <c r="F10" s="80" t="s">
        <v>186</v>
      </c>
      <c r="G10" s="283"/>
      <c r="H10" s="7" t="str">
        <f t="shared" si="0"/>
        <v/>
      </c>
    </row>
    <row r="11" spans="1:8" ht="19.5" customHeight="1">
      <c r="A11" s="82" t="s">
        <v>186</v>
      </c>
      <c r="B11" s="80"/>
      <c r="C11" s="82" t="s">
        <v>186</v>
      </c>
      <c r="D11" s="281"/>
      <c r="E11" s="281"/>
      <c r="F11" s="80" t="s">
        <v>186</v>
      </c>
      <c r="G11" s="283"/>
      <c r="H11" s="7" t="str">
        <f t="shared" si="0"/>
        <v/>
      </c>
    </row>
    <row r="12" spans="1:8" ht="19.5" customHeight="1">
      <c r="A12" s="82" t="s">
        <v>186</v>
      </c>
      <c r="B12" s="80"/>
      <c r="C12" s="82" t="s">
        <v>186</v>
      </c>
      <c r="D12" s="281"/>
      <c r="E12" s="281"/>
      <c r="F12" s="80" t="s">
        <v>186</v>
      </c>
      <c r="G12" s="283"/>
      <c r="H12" s="7" t="str">
        <f t="shared" si="0"/>
        <v/>
      </c>
    </row>
    <row r="13" spans="1:8" ht="19.5" customHeight="1">
      <c r="A13" s="82" t="s">
        <v>186</v>
      </c>
      <c r="B13" s="80"/>
      <c r="C13" s="82" t="s">
        <v>186</v>
      </c>
      <c r="D13" s="281"/>
      <c r="E13" s="281"/>
      <c r="F13" s="80" t="s">
        <v>186</v>
      </c>
      <c r="G13" s="283"/>
      <c r="H13" s="7" t="str">
        <f t="shared" si="0"/>
        <v/>
      </c>
    </row>
    <row r="14" spans="1:8" ht="19.5" customHeight="1">
      <c r="A14" s="82" t="s">
        <v>186</v>
      </c>
      <c r="B14" s="80"/>
      <c r="C14" s="82" t="s">
        <v>186</v>
      </c>
      <c r="D14" s="281"/>
      <c r="E14" s="281"/>
      <c r="F14" s="80" t="s">
        <v>186</v>
      </c>
      <c r="G14" s="283"/>
      <c r="H14" s="7" t="str">
        <f t="shared" si="0"/>
        <v/>
      </c>
    </row>
    <row r="15" spans="1:8" ht="19.5" customHeight="1">
      <c r="A15" s="82" t="s">
        <v>186</v>
      </c>
      <c r="B15" s="80"/>
      <c r="C15" s="82" t="s">
        <v>186</v>
      </c>
      <c r="D15" s="281"/>
      <c r="E15" s="281"/>
      <c r="F15" s="80" t="s">
        <v>186</v>
      </c>
      <c r="G15" s="283"/>
      <c r="H15" s="7" t="str">
        <f t="shared" si="0"/>
        <v/>
      </c>
    </row>
    <row r="16" spans="1:8" ht="19.5" customHeight="1">
      <c r="A16" s="82" t="s">
        <v>186</v>
      </c>
      <c r="B16" s="80"/>
      <c r="C16" s="82" t="s">
        <v>186</v>
      </c>
      <c r="D16" s="281"/>
      <c r="E16" s="281"/>
      <c r="F16" s="80" t="s">
        <v>186</v>
      </c>
      <c r="G16" s="283"/>
      <c r="H16" s="7" t="str">
        <f t="shared" si="0"/>
        <v/>
      </c>
    </row>
    <row r="17" spans="1:8" ht="19.5" customHeight="1">
      <c r="A17" s="82" t="s">
        <v>186</v>
      </c>
      <c r="B17" s="80"/>
      <c r="C17" s="82" t="s">
        <v>186</v>
      </c>
      <c r="D17" s="281"/>
      <c r="E17" s="281"/>
      <c r="F17" s="80" t="s">
        <v>186</v>
      </c>
      <c r="G17" s="283"/>
      <c r="H17" s="7" t="str">
        <f t="shared" si="0"/>
        <v/>
      </c>
    </row>
    <row r="18" spans="1:8" ht="19.5" customHeight="1">
      <c r="A18" s="82" t="s">
        <v>186</v>
      </c>
      <c r="B18" s="80"/>
      <c r="C18" s="82" t="s">
        <v>186</v>
      </c>
      <c r="D18" s="281"/>
      <c r="E18" s="281"/>
      <c r="F18" s="80" t="s">
        <v>186</v>
      </c>
      <c r="G18" s="283"/>
      <c r="H18" s="7" t="str">
        <f t="shared" si="0"/>
        <v/>
      </c>
    </row>
    <row r="19" spans="1:8" ht="19.5" customHeight="1">
      <c r="A19" s="82" t="s">
        <v>186</v>
      </c>
      <c r="B19" s="80"/>
      <c r="C19" s="82" t="s">
        <v>186</v>
      </c>
      <c r="D19" s="281"/>
      <c r="E19" s="281"/>
      <c r="F19" s="80" t="s">
        <v>186</v>
      </c>
      <c r="G19" s="283"/>
      <c r="H19" s="7" t="str">
        <f t="shared" si="0"/>
        <v/>
      </c>
    </row>
    <row r="20" spans="1:8" ht="19.5" customHeight="1">
      <c r="A20" s="82" t="s">
        <v>186</v>
      </c>
      <c r="B20" s="80"/>
      <c r="C20" s="82" t="s">
        <v>186</v>
      </c>
      <c r="D20" s="281"/>
      <c r="E20" s="281"/>
      <c r="F20" s="80" t="s">
        <v>186</v>
      </c>
      <c r="G20" s="283"/>
      <c r="H20" s="7" t="str">
        <f t="shared" si="0"/>
        <v/>
      </c>
    </row>
    <row r="21" spans="1:8" ht="19.5" customHeight="1">
      <c r="A21" s="82" t="s">
        <v>186</v>
      </c>
      <c r="B21" s="80"/>
      <c r="C21" s="82" t="s">
        <v>186</v>
      </c>
      <c r="D21" s="281"/>
      <c r="E21" s="281"/>
      <c r="F21" s="80" t="s">
        <v>186</v>
      </c>
      <c r="G21" s="283"/>
      <c r="H21" s="7" t="str">
        <f t="shared" si="0"/>
        <v/>
      </c>
    </row>
    <row r="22" spans="1:8" ht="19.5" customHeight="1">
      <c r="A22" s="82" t="s">
        <v>186</v>
      </c>
      <c r="B22" s="80"/>
      <c r="C22" s="82" t="s">
        <v>186</v>
      </c>
      <c r="D22" s="281"/>
      <c r="E22" s="281"/>
      <c r="F22" s="80" t="s">
        <v>186</v>
      </c>
      <c r="G22" s="283"/>
      <c r="H22" s="7" t="str">
        <f t="shared" si="0"/>
        <v/>
      </c>
    </row>
    <row r="23" spans="1:8" ht="19.5" customHeight="1">
      <c r="A23" s="82" t="s">
        <v>186</v>
      </c>
      <c r="B23" s="80"/>
      <c r="C23" s="82" t="s">
        <v>186</v>
      </c>
      <c r="D23" s="281"/>
      <c r="E23" s="281"/>
      <c r="F23" s="80" t="s">
        <v>186</v>
      </c>
      <c r="G23" s="283"/>
      <c r="H23" s="7" t="str">
        <f t="shared" si="0"/>
        <v/>
      </c>
    </row>
    <row r="24" spans="1:8" ht="19.5" customHeight="1">
      <c r="A24" s="82" t="s">
        <v>186</v>
      </c>
      <c r="B24" s="80"/>
      <c r="C24" s="82" t="s">
        <v>186</v>
      </c>
      <c r="D24" s="281"/>
      <c r="E24" s="281"/>
      <c r="F24" s="80" t="s">
        <v>186</v>
      </c>
      <c r="G24" s="283"/>
      <c r="H24" s="7" t="str">
        <f t="shared" si="0"/>
        <v/>
      </c>
    </row>
    <row r="25" spans="1:8" ht="19.5" customHeight="1">
      <c r="A25" s="82" t="s">
        <v>186</v>
      </c>
      <c r="B25" s="80"/>
      <c r="C25" s="82" t="s">
        <v>186</v>
      </c>
      <c r="D25" s="281"/>
      <c r="E25" s="281"/>
      <c r="F25" s="80" t="s">
        <v>186</v>
      </c>
      <c r="G25" s="283"/>
      <c r="H25" s="7" t="str">
        <f t="shared" si="0"/>
        <v/>
      </c>
    </row>
    <row r="26" spans="1:8" ht="19.5" customHeight="1">
      <c r="A26" s="82" t="s">
        <v>186</v>
      </c>
      <c r="B26" s="80"/>
      <c r="C26" s="82" t="s">
        <v>186</v>
      </c>
      <c r="D26" s="281"/>
      <c r="E26" s="281"/>
      <c r="F26" s="80" t="s">
        <v>186</v>
      </c>
      <c r="G26" s="283"/>
      <c r="H26" s="7" t="str">
        <f t="shared" si="0"/>
        <v/>
      </c>
    </row>
    <row r="27" spans="1:8" ht="19.5" customHeight="1">
      <c r="A27" s="82" t="s">
        <v>186</v>
      </c>
      <c r="B27" s="80"/>
      <c r="C27" s="82" t="s">
        <v>186</v>
      </c>
      <c r="D27" s="281"/>
      <c r="E27" s="281"/>
      <c r="F27" s="80" t="s">
        <v>186</v>
      </c>
      <c r="G27" s="283"/>
      <c r="H27" s="7" t="str">
        <f t="shared" si="0"/>
        <v/>
      </c>
    </row>
    <row r="28" spans="1:8" ht="19.5" customHeight="1">
      <c r="A28" s="82" t="s">
        <v>186</v>
      </c>
      <c r="B28" s="80"/>
      <c r="C28" s="82" t="s">
        <v>186</v>
      </c>
      <c r="D28" s="281"/>
      <c r="E28" s="281"/>
      <c r="F28" s="80" t="s">
        <v>186</v>
      </c>
      <c r="G28" s="283"/>
      <c r="H28" s="7" t="str">
        <f t="shared" si="0"/>
        <v/>
      </c>
    </row>
    <row r="29" spans="1:8" ht="19.5" customHeight="1">
      <c r="A29" s="82" t="s">
        <v>186</v>
      </c>
      <c r="B29" s="80"/>
      <c r="C29" s="82" t="s">
        <v>186</v>
      </c>
      <c r="D29" s="281"/>
      <c r="E29" s="281"/>
      <c r="F29" s="80" t="s">
        <v>186</v>
      </c>
      <c r="G29" s="283"/>
      <c r="H29" s="7" t="str">
        <f t="shared" si="0"/>
        <v/>
      </c>
    </row>
    <row r="30" spans="1:8" ht="19.5" customHeight="1">
      <c r="A30" s="82" t="s">
        <v>186</v>
      </c>
      <c r="B30" s="80"/>
      <c r="C30" s="82" t="s">
        <v>186</v>
      </c>
      <c r="D30" s="281"/>
      <c r="E30" s="281"/>
      <c r="F30" s="80" t="s">
        <v>186</v>
      </c>
      <c r="G30" s="283"/>
      <c r="H30" s="7" t="str">
        <f t="shared" si="0"/>
        <v/>
      </c>
    </row>
    <row r="31" spans="1:8" ht="19.5" customHeight="1">
      <c r="A31" s="82" t="s">
        <v>186</v>
      </c>
      <c r="B31" s="80"/>
      <c r="C31" s="82" t="s">
        <v>186</v>
      </c>
      <c r="D31" s="281"/>
      <c r="E31" s="281"/>
      <c r="F31" s="80" t="s">
        <v>186</v>
      </c>
      <c r="G31" s="283"/>
      <c r="H31" s="7" t="str">
        <f t="shared" si="0"/>
        <v/>
      </c>
    </row>
    <row r="32" spans="1:8" ht="19.5" customHeight="1">
      <c r="A32" s="82" t="s">
        <v>186</v>
      </c>
      <c r="B32" s="80"/>
      <c r="C32" s="82" t="s">
        <v>186</v>
      </c>
      <c r="D32" s="281"/>
      <c r="E32" s="281"/>
      <c r="F32" s="80" t="s">
        <v>186</v>
      </c>
      <c r="G32" s="283"/>
      <c r="H32" s="7" t="str">
        <f>IF(F32="引き上げ率",G32,IF(F32="引き下げ率",G32*-1,""))</f>
        <v/>
      </c>
    </row>
  </sheetData>
  <phoneticPr fontId="20"/>
  <dataValidations count="2">
    <dataValidation type="list" allowBlank="1" showInputMessage="1" sqref="A5:A32" xr:uid="{00000000-0002-0000-1700-000000000000}">
      <formula1>媒体</formula1>
    </dataValidation>
    <dataValidation type="list" allowBlank="1" showInputMessage="1" showErrorMessage="1" sqref="F5:F32" xr:uid="{00000000-0002-0000-1700-000001000000}">
      <formula1>引き上げ率</formula1>
    </dataValidation>
  </dataValidations>
  <pageMargins left="0.7" right="0.7" top="0.75" bottom="0.75" header="0.3" footer="0.3"/>
  <pageSetup paperSize="9" scale="75" orientation="landscape" r:id="rId1"/>
  <extLst>
    <ext xmlns:x14="http://schemas.microsoft.com/office/spreadsheetml/2009/9/main" uri="{CCE6A557-97BC-4b89-ADB6-D9C93CAAB3DF}">
      <x14:dataValidations xmlns:xm="http://schemas.microsoft.com/office/excel/2006/main" count="1">
        <x14:dataValidation type="list" allowBlank="1" showInputMessage="1" xr:uid="{00000000-0002-0000-1700-000002000000}">
          <x14:formula1>
            <xm:f>IF(A5="Google",G_曜日,IF(A5="Yahoo!",Y_曜日,入力規則!$BX$4))</xm:f>
          </x14:formula1>
          <xm:sqref>C5:C32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5" tint="0.79998168889431442"/>
    <pageSetUpPr fitToPage="1"/>
  </sheetPr>
  <dimension ref="A1:M32"/>
  <sheetViews>
    <sheetView showGridLines="0" view="pageBreakPreview" zoomScale="85" zoomScaleNormal="100" zoomScaleSheetLayoutView="85" workbookViewId="0">
      <pane ySplit="4" topLeftCell="A5" activePane="bottomLeft" state="frozen"/>
      <selection pane="bottomLeft"/>
    </sheetView>
  </sheetViews>
  <sheetFormatPr defaultColWidth="8.88671875" defaultRowHeight="19.5" customHeight="1"/>
  <cols>
    <col min="1" max="4" width="15.77734375" style="2" customWidth="1"/>
    <col min="5" max="8" width="15.77734375" style="1" customWidth="1"/>
    <col min="9" max="13" width="11.77734375" style="97" customWidth="1"/>
    <col min="14" max="16384" width="8.88671875" style="1"/>
  </cols>
  <sheetData>
    <row r="1" spans="1:13" ht="19.5" customHeight="1">
      <c r="A1" s="114" t="str">
        <f>"Ver."&amp;変更履歴!$B$1</f>
        <v>Ver.10.1</v>
      </c>
      <c r="B1" s="77"/>
      <c r="C1" s="77"/>
    </row>
    <row r="2" spans="1:13" ht="19.5" customHeight="1">
      <c r="A2" s="4" t="s">
        <v>1777</v>
      </c>
      <c r="B2" s="4"/>
      <c r="C2" s="4"/>
      <c r="D2" s="4"/>
    </row>
    <row r="3" spans="1:13" ht="19.5" customHeight="1">
      <c r="A3" s="6"/>
      <c r="B3" s="6"/>
      <c r="C3" s="6"/>
      <c r="I3" s="348" t="s">
        <v>1853</v>
      </c>
      <c r="J3" s="1"/>
      <c r="K3" s="1"/>
      <c r="L3" s="1"/>
      <c r="M3" s="1"/>
    </row>
    <row r="4" spans="1:13" s="2" customFormat="1" ht="39.950000000000003" customHeight="1">
      <c r="A4" s="55" t="s">
        <v>18</v>
      </c>
      <c r="B4" s="57" t="s">
        <v>1772</v>
      </c>
      <c r="C4" s="56" t="s">
        <v>1771</v>
      </c>
      <c r="D4" s="55" t="s">
        <v>28</v>
      </c>
      <c r="E4" s="57" t="s">
        <v>1770</v>
      </c>
      <c r="F4" s="56" t="s">
        <v>1536</v>
      </c>
      <c r="G4" s="56" t="s">
        <v>31</v>
      </c>
      <c r="H4" s="56" t="s">
        <v>1852</v>
      </c>
      <c r="I4" s="171"/>
      <c r="J4" s="171"/>
      <c r="K4" s="171"/>
      <c r="L4" s="171"/>
      <c r="M4" s="171"/>
    </row>
    <row r="5" spans="1:13" ht="19.5" customHeight="1">
      <c r="A5" s="82" t="s">
        <v>186</v>
      </c>
      <c r="B5" s="80"/>
      <c r="C5" s="82" t="s">
        <v>186</v>
      </c>
      <c r="D5" s="80"/>
      <c r="E5" s="82"/>
      <c r="F5" s="281"/>
      <c r="G5" s="281"/>
      <c r="H5" s="281"/>
      <c r="I5" s="281"/>
      <c r="J5" s="281"/>
      <c r="K5" s="281"/>
      <c r="L5" s="281"/>
      <c r="M5" s="281"/>
    </row>
    <row r="6" spans="1:13" ht="19.5" customHeight="1">
      <c r="A6" s="82" t="s">
        <v>186</v>
      </c>
      <c r="B6" s="80"/>
      <c r="C6" s="82" t="s">
        <v>186</v>
      </c>
      <c r="D6" s="80"/>
      <c r="E6" s="82"/>
      <c r="F6" s="281"/>
      <c r="G6" s="281"/>
      <c r="H6" s="281"/>
      <c r="I6" s="281"/>
      <c r="J6" s="281"/>
      <c r="K6" s="281"/>
      <c r="L6" s="281"/>
      <c r="M6" s="281"/>
    </row>
    <row r="7" spans="1:13" ht="19.5" customHeight="1">
      <c r="A7" s="82" t="s">
        <v>186</v>
      </c>
      <c r="B7" s="80"/>
      <c r="C7" s="82" t="s">
        <v>186</v>
      </c>
      <c r="D7" s="80"/>
      <c r="E7" s="82"/>
      <c r="F7" s="281"/>
      <c r="G7" s="281"/>
      <c r="H7" s="281"/>
      <c r="I7" s="281"/>
      <c r="J7" s="281"/>
      <c r="K7" s="281"/>
      <c r="L7" s="281"/>
      <c r="M7" s="281"/>
    </row>
    <row r="8" spans="1:13" ht="19.5" customHeight="1">
      <c r="A8" s="82" t="s">
        <v>186</v>
      </c>
      <c r="B8" s="80"/>
      <c r="C8" s="82" t="s">
        <v>186</v>
      </c>
      <c r="D8" s="80"/>
      <c r="E8" s="82"/>
      <c r="F8" s="281"/>
      <c r="G8" s="281"/>
      <c r="H8" s="281"/>
      <c r="I8" s="281"/>
      <c r="J8" s="281"/>
      <c r="K8" s="281"/>
      <c r="L8" s="281"/>
      <c r="M8" s="281"/>
    </row>
    <row r="9" spans="1:13" ht="19.5" customHeight="1">
      <c r="A9" s="82" t="s">
        <v>186</v>
      </c>
      <c r="B9" s="80"/>
      <c r="C9" s="82" t="s">
        <v>186</v>
      </c>
      <c r="D9" s="80"/>
      <c r="E9" s="82"/>
      <c r="F9" s="281"/>
      <c r="G9" s="281"/>
      <c r="H9" s="281"/>
      <c r="I9" s="281"/>
      <c r="J9" s="281"/>
      <c r="K9" s="281"/>
      <c r="L9" s="281"/>
      <c r="M9" s="281"/>
    </row>
    <row r="10" spans="1:13" ht="19.5" customHeight="1">
      <c r="A10" s="82" t="s">
        <v>186</v>
      </c>
      <c r="B10" s="80"/>
      <c r="C10" s="82" t="s">
        <v>186</v>
      </c>
      <c r="D10" s="80"/>
      <c r="E10" s="82"/>
      <c r="F10" s="281"/>
      <c r="G10" s="281"/>
      <c r="H10" s="281"/>
      <c r="I10" s="281"/>
      <c r="J10" s="281"/>
      <c r="K10" s="281"/>
      <c r="L10" s="281"/>
      <c r="M10" s="281"/>
    </row>
    <row r="11" spans="1:13" ht="19.5" customHeight="1">
      <c r="A11" s="82" t="s">
        <v>186</v>
      </c>
      <c r="B11" s="80"/>
      <c r="C11" s="82" t="s">
        <v>186</v>
      </c>
      <c r="D11" s="80"/>
      <c r="E11" s="82"/>
      <c r="F11" s="281"/>
      <c r="G11" s="281"/>
      <c r="H11" s="281"/>
      <c r="I11" s="281"/>
      <c r="J11" s="281"/>
      <c r="K11" s="281"/>
      <c r="L11" s="281"/>
      <c r="M11" s="281"/>
    </row>
    <row r="12" spans="1:13" ht="19.5" customHeight="1">
      <c r="A12" s="82" t="s">
        <v>186</v>
      </c>
      <c r="B12" s="80"/>
      <c r="C12" s="82" t="s">
        <v>186</v>
      </c>
      <c r="D12" s="80"/>
      <c r="E12" s="82"/>
      <c r="F12" s="281"/>
      <c r="G12" s="281"/>
      <c r="H12" s="281"/>
      <c r="I12" s="281"/>
      <c r="J12" s="281"/>
      <c r="K12" s="281"/>
      <c r="L12" s="281"/>
      <c r="M12" s="281"/>
    </row>
    <row r="13" spans="1:13" ht="19.5" customHeight="1">
      <c r="A13" s="82" t="s">
        <v>186</v>
      </c>
      <c r="B13" s="80"/>
      <c r="C13" s="82" t="s">
        <v>186</v>
      </c>
      <c r="D13" s="80"/>
      <c r="E13" s="82"/>
      <c r="F13" s="281"/>
      <c r="G13" s="281"/>
      <c r="H13" s="281"/>
      <c r="I13" s="281"/>
      <c r="J13" s="281"/>
      <c r="K13" s="281"/>
      <c r="L13" s="281"/>
      <c r="M13" s="281"/>
    </row>
    <row r="14" spans="1:13" ht="19.5" customHeight="1">
      <c r="A14" s="82" t="s">
        <v>186</v>
      </c>
      <c r="B14" s="80"/>
      <c r="C14" s="82" t="s">
        <v>186</v>
      </c>
      <c r="D14" s="80"/>
      <c r="E14" s="82"/>
      <c r="F14" s="281"/>
      <c r="G14" s="281"/>
      <c r="H14" s="281"/>
      <c r="I14" s="281"/>
      <c r="J14" s="281"/>
      <c r="K14" s="281"/>
      <c r="L14" s="281"/>
      <c r="M14" s="281"/>
    </row>
    <row r="15" spans="1:13" ht="19.5" customHeight="1">
      <c r="A15" s="82" t="s">
        <v>186</v>
      </c>
      <c r="B15" s="80"/>
      <c r="C15" s="82" t="s">
        <v>186</v>
      </c>
      <c r="D15" s="80"/>
      <c r="E15" s="82"/>
      <c r="F15" s="281"/>
      <c r="G15" s="281"/>
      <c r="H15" s="281"/>
      <c r="I15" s="281"/>
      <c r="J15" s="281"/>
      <c r="K15" s="281"/>
      <c r="L15" s="281"/>
      <c r="M15" s="281"/>
    </row>
    <row r="16" spans="1:13" ht="19.5" customHeight="1">
      <c r="A16" s="82" t="s">
        <v>186</v>
      </c>
      <c r="B16" s="80"/>
      <c r="C16" s="82" t="s">
        <v>186</v>
      </c>
      <c r="D16" s="80"/>
      <c r="E16" s="82"/>
      <c r="F16" s="281"/>
      <c r="G16" s="281"/>
      <c r="H16" s="281"/>
      <c r="I16" s="281"/>
      <c r="J16" s="281"/>
      <c r="K16" s="281"/>
      <c r="L16" s="281"/>
      <c r="M16" s="281"/>
    </row>
    <row r="17" spans="1:13" ht="19.5" customHeight="1">
      <c r="A17" s="82" t="s">
        <v>186</v>
      </c>
      <c r="B17" s="80"/>
      <c r="C17" s="82" t="s">
        <v>186</v>
      </c>
      <c r="D17" s="80"/>
      <c r="E17" s="82"/>
      <c r="F17" s="281"/>
      <c r="G17" s="281"/>
      <c r="H17" s="281"/>
      <c r="I17" s="281"/>
      <c r="J17" s="281"/>
      <c r="K17" s="281"/>
      <c r="L17" s="281"/>
      <c r="M17" s="281"/>
    </row>
    <row r="18" spans="1:13" ht="19.5" customHeight="1">
      <c r="A18" s="82" t="s">
        <v>186</v>
      </c>
      <c r="B18" s="80"/>
      <c r="C18" s="82" t="s">
        <v>186</v>
      </c>
      <c r="D18" s="80"/>
      <c r="E18" s="82"/>
      <c r="F18" s="281"/>
      <c r="G18" s="281"/>
      <c r="H18" s="281"/>
      <c r="I18" s="281"/>
      <c r="J18" s="281"/>
      <c r="K18" s="281"/>
      <c r="L18" s="281"/>
      <c r="M18" s="281"/>
    </row>
    <row r="19" spans="1:13" ht="19.5" customHeight="1">
      <c r="A19" s="82" t="s">
        <v>186</v>
      </c>
      <c r="B19" s="80"/>
      <c r="C19" s="82" t="s">
        <v>186</v>
      </c>
      <c r="D19" s="80"/>
      <c r="E19" s="82"/>
      <c r="F19" s="281"/>
      <c r="G19" s="281"/>
      <c r="H19" s="281"/>
      <c r="I19" s="281"/>
      <c r="J19" s="281"/>
      <c r="K19" s="281"/>
      <c r="L19" s="281"/>
      <c r="M19" s="281"/>
    </row>
    <row r="20" spans="1:13" ht="19.5" customHeight="1">
      <c r="A20" s="82" t="s">
        <v>186</v>
      </c>
      <c r="B20" s="80"/>
      <c r="C20" s="82" t="s">
        <v>186</v>
      </c>
      <c r="D20" s="80"/>
      <c r="E20" s="82"/>
      <c r="F20" s="281"/>
      <c r="G20" s="281"/>
      <c r="H20" s="281"/>
      <c r="I20" s="281"/>
      <c r="J20" s="281"/>
      <c r="K20" s="281"/>
      <c r="L20" s="281"/>
      <c r="M20" s="281"/>
    </row>
    <row r="21" spans="1:13" ht="19.5" customHeight="1">
      <c r="A21" s="82" t="s">
        <v>186</v>
      </c>
      <c r="B21" s="80"/>
      <c r="C21" s="82" t="s">
        <v>186</v>
      </c>
      <c r="D21" s="80"/>
      <c r="E21" s="82"/>
      <c r="F21" s="281"/>
      <c r="G21" s="281"/>
      <c r="H21" s="281"/>
      <c r="I21" s="281"/>
      <c r="J21" s="281"/>
      <c r="K21" s="281"/>
      <c r="L21" s="281"/>
      <c r="M21" s="281"/>
    </row>
    <row r="22" spans="1:13" ht="19.5" customHeight="1">
      <c r="A22" s="82" t="s">
        <v>186</v>
      </c>
      <c r="B22" s="80"/>
      <c r="C22" s="82" t="s">
        <v>186</v>
      </c>
      <c r="D22" s="80"/>
      <c r="E22" s="82"/>
      <c r="F22" s="281"/>
      <c r="G22" s="281"/>
      <c r="H22" s="281"/>
      <c r="I22" s="281"/>
      <c r="J22" s="281"/>
      <c r="K22" s="281"/>
      <c r="L22" s="281"/>
      <c r="M22" s="281"/>
    </row>
    <row r="23" spans="1:13" ht="19.5" customHeight="1">
      <c r="A23" s="82" t="s">
        <v>186</v>
      </c>
      <c r="B23" s="80"/>
      <c r="C23" s="82" t="s">
        <v>186</v>
      </c>
      <c r="D23" s="80"/>
      <c r="E23" s="82"/>
      <c r="F23" s="281"/>
      <c r="G23" s="281"/>
      <c r="H23" s="281"/>
      <c r="I23" s="281"/>
      <c r="J23" s="281"/>
      <c r="K23" s="281"/>
      <c r="L23" s="281"/>
      <c r="M23" s="281"/>
    </row>
    <row r="24" spans="1:13" ht="19.5" customHeight="1">
      <c r="A24" s="82" t="s">
        <v>186</v>
      </c>
      <c r="B24" s="80"/>
      <c r="C24" s="82" t="s">
        <v>186</v>
      </c>
      <c r="D24" s="80"/>
      <c r="E24" s="82"/>
      <c r="F24" s="281"/>
      <c r="G24" s="281"/>
      <c r="H24" s="281"/>
      <c r="I24" s="281"/>
      <c r="J24" s="281"/>
      <c r="K24" s="281"/>
      <c r="L24" s="281"/>
      <c r="M24" s="281"/>
    </row>
    <row r="25" spans="1:13" ht="19.5" customHeight="1">
      <c r="A25" s="82" t="s">
        <v>186</v>
      </c>
      <c r="B25" s="80"/>
      <c r="C25" s="82" t="s">
        <v>186</v>
      </c>
      <c r="D25" s="80"/>
      <c r="E25" s="82"/>
      <c r="F25" s="281"/>
      <c r="G25" s="281"/>
      <c r="H25" s="281"/>
      <c r="I25" s="281"/>
      <c r="J25" s="281"/>
      <c r="K25" s="281"/>
      <c r="L25" s="281"/>
      <c r="M25" s="281"/>
    </row>
    <row r="26" spans="1:13" ht="19.5" customHeight="1">
      <c r="A26" s="82" t="s">
        <v>186</v>
      </c>
      <c r="B26" s="80"/>
      <c r="C26" s="82" t="s">
        <v>186</v>
      </c>
      <c r="D26" s="80"/>
      <c r="E26" s="82"/>
      <c r="F26" s="281"/>
      <c r="G26" s="281"/>
      <c r="H26" s="281"/>
      <c r="I26" s="281"/>
      <c r="J26" s="281"/>
      <c r="K26" s="281"/>
      <c r="L26" s="281"/>
      <c r="M26" s="281"/>
    </row>
    <row r="27" spans="1:13" ht="19.5" customHeight="1">
      <c r="A27" s="82" t="s">
        <v>186</v>
      </c>
      <c r="B27" s="80"/>
      <c r="C27" s="82" t="s">
        <v>186</v>
      </c>
      <c r="D27" s="80"/>
      <c r="E27" s="82"/>
      <c r="F27" s="281"/>
      <c r="G27" s="281"/>
      <c r="H27" s="281"/>
      <c r="I27" s="281"/>
      <c r="J27" s="281"/>
      <c r="K27" s="281"/>
      <c r="L27" s="281"/>
      <c r="M27" s="281"/>
    </row>
    <row r="28" spans="1:13" ht="19.5" customHeight="1">
      <c r="A28" s="82" t="s">
        <v>186</v>
      </c>
      <c r="B28" s="80"/>
      <c r="C28" s="82" t="s">
        <v>186</v>
      </c>
      <c r="D28" s="80"/>
      <c r="E28" s="82"/>
      <c r="F28" s="281"/>
      <c r="G28" s="281"/>
      <c r="H28" s="281"/>
      <c r="I28" s="281"/>
      <c r="J28" s="281"/>
      <c r="K28" s="281"/>
      <c r="L28" s="281"/>
      <c r="M28" s="281"/>
    </row>
    <row r="29" spans="1:13" ht="19.5" customHeight="1">
      <c r="A29" s="82" t="s">
        <v>186</v>
      </c>
      <c r="B29" s="80"/>
      <c r="C29" s="82" t="s">
        <v>186</v>
      </c>
      <c r="D29" s="80"/>
      <c r="E29" s="82"/>
      <c r="F29" s="281"/>
      <c r="G29" s="281"/>
      <c r="H29" s="281"/>
      <c r="I29" s="281"/>
      <c r="J29" s="281"/>
      <c r="K29" s="281"/>
      <c r="L29" s="281"/>
      <c r="M29" s="281"/>
    </row>
    <row r="30" spans="1:13" ht="19.5" customHeight="1">
      <c r="A30" s="82" t="s">
        <v>186</v>
      </c>
      <c r="B30" s="80"/>
      <c r="C30" s="82" t="s">
        <v>186</v>
      </c>
      <c r="D30" s="80"/>
      <c r="E30" s="82"/>
      <c r="F30" s="281"/>
      <c r="G30" s="281"/>
      <c r="H30" s="281"/>
      <c r="I30" s="281"/>
      <c r="J30" s="281"/>
      <c r="K30" s="281"/>
      <c r="L30" s="281"/>
      <c r="M30" s="281"/>
    </row>
    <row r="31" spans="1:13" ht="19.5" customHeight="1">
      <c r="A31" s="82" t="s">
        <v>186</v>
      </c>
      <c r="B31" s="80"/>
      <c r="C31" s="82" t="s">
        <v>186</v>
      </c>
      <c r="D31" s="80"/>
      <c r="E31" s="82"/>
      <c r="F31" s="281"/>
      <c r="G31" s="281"/>
      <c r="H31" s="281"/>
      <c r="I31" s="281"/>
      <c r="J31" s="281"/>
      <c r="K31" s="281"/>
      <c r="L31" s="281"/>
      <c r="M31" s="281"/>
    </row>
    <row r="32" spans="1:13" ht="19.5" customHeight="1">
      <c r="A32" s="82" t="s">
        <v>186</v>
      </c>
      <c r="B32" s="80"/>
      <c r="C32" s="82" t="s">
        <v>186</v>
      </c>
      <c r="D32" s="80"/>
      <c r="E32" s="82"/>
      <c r="F32" s="281"/>
      <c r="G32" s="281"/>
      <c r="H32" s="281"/>
      <c r="I32" s="281"/>
      <c r="J32" s="281"/>
      <c r="K32" s="281"/>
      <c r="L32" s="281"/>
      <c r="M32" s="281"/>
    </row>
  </sheetData>
  <phoneticPr fontId="20"/>
  <dataValidations count="2">
    <dataValidation type="list" allowBlank="1" showInputMessage="1" sqref="A5:A32" xr:uid="{00000000-0002-0000-1800-000000000000}">
      <formula1>媒体</formula1>
    </dataValidation>
    <dataValidation type="list" allowBlank="1" showInputMessage="1" sqref="C5:C32" xr:uid="{00000000-0002-0000-1800-000001000000}">
      <formula1>カスタマイザフィード</formula1>
    </dataValidation>
  </dataValidations>
  <pageMargins left="0.7" right="0.7" top="0.75" bottom="0.75" header="0.3" footer="0.3"/>
  <pageSetup paperSize="9" scale="58"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B1:G16"/>
  <sheetViews>
    <sheetView zoomScale="85" zoomScaleNormal="85" workbookViewId="0"/>
  </sheetViews>
  <sheetFormatPr defaultColWidth="9.21875" defaultRowHeight="12"/>
  <cols>
    <col min="1" max="1" width="1.109375" style="256" customWidth="1"/>
    <col min="2" max="2" width="20.21875" style="256" bestFit="1" customWidth="1"/>
    <col min="3" max="3" width="24.21875" style="256" bestFit="1" customWidth="1"/>
    <col min="4" max="4" width="45.6640625" style="256" customWidth="1"/>
    <col min="5" max="6" width="8.44140625" style="256" customWidth="1"/>
    <col min="7" max="16384" width="9.21875" style="256"/>
  </cols>
  <sheetData>
    <row r="1" spans="2:7" ht="6" customHeight="1">
      <c r="D1" s="257"/>
      <c r="E1" s="257"/>
      <c r="F1" s="257"/>
    </row>
    <row r="2" spans="2:7" ht="27" customHeight="1" thickBot="1">
      <c r="B2" s="258" t="s">
        <v>1276</v>
      </c>
      <c r="C2" s="258" t="s">
        <v>1277</v>
      </c>
      <c r="D2" s="258" t="s">
        <v>1338</v>
      </c>
      <c r="E2" s="258" t="s">
        <v>1278</v>
      </c>
      <c r="F2" s="258" t="s">
        <v>1279</v>
      </c>
      <c r="G2" s="256" t="s">
        <v>1282</v>
      </c>
    </row>
    <row r="3" spans="2:7" ht="27" customHeight="1" thickTop="1">
      <c r="B3" s="259" t="s">
        <v>1280</v>
      </c>
      <c r="C3" s="259" t="s">
        <v>1281</v>
      </c>
      <c r="D3" s="278" t="s">
        <v>1340</v>
      </c>
      <c r="E3" s="260" t="str">
        <f>IF(COUNTIF('ユーザーリスト（単体）'!$B16:$B502,$E$2)&gt;=1,"○","×")</f>
        <v>×</v>
      </c>
      <c r="F3" s="260" t="str">
        <f>IF(COUNTIF('ユーザーリスト（単体）'!$B16:$B502,$F$2)&gt;=1,"○","×")</f>
        <v>×</v>
      </c>
      <c r="G3" s="256" t="s">
        <v>1282</v>
      </c>
    </row>
    <row r="4" spans="2:7" ht="27" customHeight="1">
      <c r="B4" s="261" t="s">
        <v>1283</v>
      </c>
      <c r="C4" s="261" t="s">
        <v>1284</v>
      </c>
      <c r="D4" s="261" t="s">
        <v>1341</v>
      </c>
      <c r="E4" s="262" t="str">
        <f>IF(COUNTIF('ユーザーリスト（組み合わせ）'!$B14:$B500,$E$2)&gt;=1,"○","×")</f>
        <v>×</v>
      </c>
      <c r="F4" s="262" t="str">
        <f>IF(COUNTIF('ユーザーリスト（組み合わせ）'!$B14:$B500,$F$2)&gt;=1,"○","×")</f>
        <v>×</v>
      </c>
      <c r="G4" s="256" t="s">
        <v>1282</v>
      </c>
    </row>
    <row r="5" spans="2:7" ht="27" customHeight="1">
      <c r="B5" s="261" t="s">
        <v>1285</v>
      </c>
      <c r="C5" s="261" t="s">
        <v>1284</v>
      </c>
      <c r="D5" s="261" t="s">
        <v>1342</v>
      </c>
      <c r="E5" s="262" t="str">
        <f>IF(COUNTIF('ターゲティング（関連付け）'!$A18:$A500,$E$2)&gt;=1,"○","×")</f>
        <v>×</v>
      </c>
      <c r="F5" s="262" t="str">
        <f>IF(COUNTIF('ターゲティング（関連付け）'!$A18:$A500,$F$2)&gt;=1,"○","×")</f>
        <v>×</v>
      </c>
      <c r="G5" s="256" t="s">
        <v>1282</v>
      </c>
    </row>
    <row r="6" spans="2:7" ht="27" customHeight="1">
      <c r="B6" s="261" t="s">
        <v>1286</v>
      </c>
      <c r="C6" s="261" t="s">
        <v>1284</v>
      </c>
      <c r="D6" s="277" t="s">
        <v>1343</v>
      </c>
      <c r="E6" s="262" t="str">
        <f>IF(COUNTIF('キーワード（指定）'!$A:$A,$E$2)&gt;=1,"○","×")</f>
        <v>×</v>
      </c>
      <c r="F6" s="262" t="str">
        <f>IF(COUNTIF('キーワード（指定）'!$A:$A,$F$2)&gt;=1,"○","×")</f>
        <v>×</v>
      </c>
      <c r="G6" s="256" t="s">
        <v>1282</v>
      </c>
    </row>
    <row r="7" spans="2:7" ht="27" customHeight="1">
      <c r="B7" s="261" t="s">
        <v>1287</v>
      </c>
      <c r="C7" s="261" t="s">
        <v>1284</v>
      </c>
      <c r="D7" s="261" t="s">
        <v>1339</v>
      </c>
      <c r="E7" s="262" t="str">
        <f>IF('キーワード（掛け合わせ）'!$X$2=0,"×","○")</f>
        <v>×</v>
      </c>
      <c r="F7" s="262" t="str">
        <f>IF('キーワード（掛け合わせ）'!$X$2=0,"×","○")</f>
        <v>×</v>
      </c>
      <c r="G7" s="256" t="s">
        <v>1282</v>
      </c>
    </row>
    <row r="8" spans="2:7" ht="27" customHeight="1">
      <c r="B8" s="261" t="s">
        <v>992</v>
      </c>
      <c r="C8" s="261" t="s">
        <v>1284</v>
      </c>
      <c r="D8" s="277" t="s">
        <v>1343</v>
      </c>
      <c r="E8" s="262" t="str">
        <f>IF(COUNTIF(拡張テキスト!$A:$A,$E$2)&gt;=1,"○","×")</f>
        <v>×</v>
      </c>
      <c r="F8" s="262" t="str">
        <f>IF(COUNTIF(拡張テキスト!$A:$A,$F$2)&gt;=1,"○","×")</f>
        <v>×</v>
      </c>
      <c r="G8" s="256" t="s">
        <v>1282</v>
      </c>
    </row>
    <row r="9" spans="2:7" ht="27" customHeight="1">
      <c r="B9" s="261" t="s">
        <v>1288</v>
      </c>
      <c r="C9" s="261" t="s">
        <v>1284</v>
      </c>
      <c r="D9" s="277" t="s">
        <v>1343</v>
      </c>
      <c r="E9" s="262" t="str">
        <f>IF(COUNTIFS('除外キーワード（指定）'!$A:$A,$E$2)&gt;=1,"○","×")</f>
        <v>×</v>
      </c>
      <c r="F9" s="262" t="str">
        <f>IF(COUNTIFS('除外キーワード（指定）'!$A:$A,$F$2)&gt;=1,"○","×")</f>
        <v>×</v>
      </c>
      <c r="G9" s="256" t="s">
        <v>1282</v>
      </c>
    </row>
    <row r="10" spans="2:7" ht="27" customHeight="1">
      <c r="B10" s="261" t="s">
        <v>1289</v>
      </c>
      <c r="C10" s="261" t="s">
        <v>1290</v>
      </c>
      <c r="D10" s="263" t="s">
        <v>1344</v>
      </c>
      <c r="E10" s="262" t="str">
        <f>IF(COUNTIFS('広告表示オプション（関連付け）'!$A$22:$A$2000,$E$2,'広告表示オプション（関連付け）'!$G$22:$G$2000,"&lt;&gt;"&amp;"")&gt;=1,"〇","×")</f>
        <v>×</v>
      </c>
      <c r="F10" s="262" t="str">
        <f>IF(COUNTIFS('広告表示オプション（関連付け）'!$A$22:$A$2000,$F$2,'広告表示オプション（関連付け）'!$G$22:$G$2000,"&lt;&gt;"&amp;"")&gt;=1,"〇","×")</f>
        <v>×</v>
      </c>
      <c r="G10" s="256" t="s">
        <v>1291</v>
      </c>
    </row>
    <row r="11" spans="2:7" ht="27" customHeight="1">
      <c r="B11" s="261" t="s">
        <v>1289</v>
      </c>
      <c r="C11" s="261" t="s">
        <v>1292</v>
      </c>
      <c r="D11" s="263" t="s">
        <v>1345</v>
      </c>
      <c r="E11" s="262" t="str">
        <f>IF(COUNTIFS('広告表示オプション（関連付け）'!$A$22:$A$2000,$E$2,'広告表示オプション（関連付け）'!$M$22:$M$2000,"&lt;&gt;"&amp;"")&gt;=1,"〇","×")</f>
        <v>×</v>
      </c>
      <c r="F11" s="262" t="str">
        <f>IF(COUNTIFS('広告表示オプション（関連付け）'!$A$22:$A$2000,$F$2,'広告表示オプション（関連付け）'!$M$22:$M$2000,"&lt;&gt;"&amp;"")&gt;=1,"〇","×")</f>
        <v>×</v>
      </c>
      <c r="G11" s="256" t="s">
        <v>1291</v>
      </c>
    </row>
    <row r="12" spans="2:7" ht="37.9" customHeight="1">
      <c r="B12" s="261" t="s">
        <v>1289</v>
      </c>
      <c r="C12" s="261" t="s">
        <v>1293</v>
      </c>
      <c r="D12" s="263" t="s">
        <v>1346</v>
      </c>
      <c r="E12" s="262" t="str">
        <f>IF(COUNTIFS('広告表示オプション（関連付け）'!$A$22:$A$2000,$E$2,'広告表示オプション（関連付け）'!$N$22:$N$2000,"&lt;&gt;"&amp;"",'広告表示オプション（関連付け）'!$N$22:$N$2000,"&lt;&gt;"&amp;"入力規則")&gt;=1,"〇","×")</f>
        <v>×</v>
      </c>
      <c r="F12" s="262" t="str">
        <f>IF(COUNTIFS('広告表示オプション（関連付け）'!$A$22:$A$2000,$F$2,'広告表示オプション（関連付け）'!$N$22:$N$2000,"&lt;&gt;"&amp;"",'広告表示オプション（関連付け）'!$N$22:$N$2000,"&lt;&gt;"&amp;"入力規則")&gt;=1,"〇","×")</f>
        <v>×</v>
      </c>
      <c r="G12" s="256" t="s">
        <v>1282</v>
      </c>
    </row>
    <row r="13" spans="2:7" ht="27" customHeight="1">
      <c r="B13" s="261" t="s">
        <v>1289</v>
      </c>
      <c r="C13" s="261" t="s">
        <v>1294</v>
      </c>
      <c r="D13" s="263" t="s">
        <v>1347</v>
      </c>
      <c r="E13" s="262" t="str">
        <f>IF(COUNTIFS('広告表示オプション（関連付け）'!$A$22:$A$2000,$E$2,'広告表示オプション（関連付け）'!$P$22:$P$2000,"&lt;&gt;"&amp;"")&gt;=1,"〇","×")</f>
        <v>×</v>
      </c>
      <c r="F13" s="262" t="str">
        <f>IF(COUNTIFS('広告表示オプション（関連付け）'!$A$22:$A$2000,$F$2,'広告表示オプション（関連付け）'!$P$22:$P$2000,"&lt;&gt;"&amp;"")&gt;=1,"〇","×")</f>
        <v>×</v>
      </c>
      <c r="G13" s="256" t="s">
        <v>1282</v>
      </c>
    </row>
    <row r="14" spans="2:7" ht="27" customHeight="1">
      <c r="B14" s="261" t="s">
        <v>413</v>
      </c>
      <c r="C14" s="261" t="s">
        <v>1284</v>
      </c>
      <c r="D14" s="277" t="s">
        <v>1343</v>
      </c>
      <c r="E14" s="262" t="str">
        <f>IF(COUNTIF(地域設定!A:A,$E$2)&gt;=1,"○","×")</f>
        <v>×</v>
      </c>
      <c r="F14" s="262" t="str">
        <f>IF(COUNTIF(地域設定!A:A,$F$2)&gt;=1,"○","×")</f>
        <v>×</v>
      </c>
      <c r="G14" s="256" t="s">
        <v>1282</v>
      </c>
    </row>
    <row r="15" spans="2:7" ht="27" customHeight="1">
      <c r="B15" s="264" t="s">
        <v>1295</v>
      </c>
      <c r="C15" s="264" t="s">
        <v>1284</v>
      </c>
      <c r="D15" s="277" t="s">
        <v>1343</v>
      </c>
      <c r="E15" s="265" t="str">
        <f>IF(COUNTIF(時間設定!A:A,$E$2)&gt;=1,"○","×")</f>
        <v>×</v>
      </c>
      <c r="F15" s="265" t="str">
        <f>IF(COUNTIF(時間設定!A:A,$F$2)&gt;=1,"○","×")</f>
        <v>×</v>
      </c>
      <c r="G15" s="256" t="s">
        <v>1282</v>
      </c>
    </row>
    <row r="16" spans="2:7">
      <c r="B16" s="256" t="s">
        <v>1282</v>
      </c>
      <c r="C16" s="256" t="s">
        <v>1282</v>
      </c>
      <c r="D16" s="256" t="s">
        <v>1282</v>
      </c>
      <c r="E16" s="256" t="s">
        <v>1282</v>
      </c>
      <c r="F16" s="256" t="s">
        <v>1282</v>
      </c>
    </row>
  </sheetData>
  <phoneticPr fontId="20"/>
  <pageMargins left="0.7" right="0.7" top="0.75" bottom="0.75" header="0.3" footer="0.3"/>
  <pageSetup paperSize="9" orientation="portrait" horizontalDpi="90" verticalDpi="9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pageSetUpPr fitToPage="1"/>
  </sheetPr>
  <dimension ref="A1:Q284"/>
  <sheetViews>
    <sheetView zoomScale="85" zoomScaleNormal="85" workbookViewId="0">
      <pane ySplit="3" topLeftCell="A4" activePane="bottomLeft" state="frozen"/>
      <selection activeCell="A4" sqref="A4"/>
      <selection pane="bottomLeft"/>
    </sheetView>
  </sheetViews>
  <sheetFormatPr defaultColWidth="8.77734375" defaultRowHeight="18.75"/>
  <cols>
    <col min="1" max="1" width="6" style="183" customWidth="1"/>
    <col min="2" max="2" width="14.5546875" style="183" bestFit="1" customWidth="1"/>
    <col min="3" max="3" width="5.44140625" style="183" bestFit="1" customWidth="1"/>
    <col min="4" max="5" width="3.33203125" style="183" customWidth="1"/>
    <col min="6" max="6" width="4.6640625" style="183" customWidth="1"/>
    <col min="7" max="7" width="24.77734375" style="183" bestFit="1" customWidth="1"/>
    <col min="8" max="8" width="48.6640625" style="183" bestFit="1" customWidth="1"/>
    <col min="9" max="9" width="13.44140625" style="183" customWidth="1"/>
    <col min="10" max="10" width="22.21875" style="183" bestFit="1" customWidth="1"/>
    <col min="11" max="11" width="25.33203125" style="183" customWidth="1"/>
    <col min="12" max="12" width="5.44140625" style="183" bestFit="1" customWidth="1"/>
    <col min="13" max="13" width="12.5546875" style="183" customWidth="1"/>
    <col min="14" max="14" width="6.33203125" style="183" customWidth="1"/>
    <col min="15" max="16" width="57.21875" style="183" customWidth="1"/>
    <col min="17" max="17" width="30" style="183" customWidth="1"/>
    <col min="18" max="16384" width="8.77734375" style="183"/>
  </cols>
  <sheetData>
    <row r="1" spans="1:17" s="182" customFormat="1" ht="19.5" thickBot="1">
      <c r="B1" s="182" t="s">
        <v>727</v>
      </c>
      <c r="C1" s="183"/>
      <c r="D1" s="183"/>
      <c r="E1" s="183"/>
      <c r="F1" s="183"/>
      <c r="I1" s="184"/>
      <c r="J1" s="182" t="s">
        <v>728</v>
      </c>
      <c r="L1" s="183"/>
      <c r="M1" s="184"/>
      <c r="N1" s="184"/>
    </row>
    <row r="2" spans="1:17">
      <c r="A2" s="182"/>
      <c r="B2" s="530" t="s">
        <v>729</v>
      </c>
      <c r="C2" s="531"/>
      <c r="D2" s="531"/>
      <c r="E2" s="531"/>
      <c r="F2" s="531"/>
      <c r="G2" s="531"/>
      <c r="H2" s="532"/>
      <c r="I2" s="185"/>
      <c r="J2" s="530" t="s">
        <v>730</v>
      </c>
      <c r="K2" s="531"/>
      <c r="L2" s="531"/>
      <c r="M2" s="531"/>
      <c r="N2" s="531"/>
      <c r="O2" s="531"/>
      <c r="P2" s="531"/>
      <c r="Q2" s="532"/>
    </row>
    <row r="3" spans="1:17" ht="29.25" thickBot="1">
      <c r="A3" s="186" t="s">
        <v>731</v>
      </c>
      <c r="B3" s="187" t="s">
        <v>732</v>
      </c>
      <c r="C3" s="188" t="s">
        <v>733</v>
      </c>
      <c r="D3" s="186" t="s">
        <v>734</v>
      </c>
      <c r="E3" s="189" t="s">
        <v>735</v>
      </c>
      <c r="F3" s="189" t="s">
        <v>736</v>
      </c>
      <c r="G3" s="190" t="s">
        <v>737</v>
      </c>
      <c r="H3" s="191" t="s">
        <v>738</v>
      </c>
      <c r="I3" s="185"/>
      <c r="J3" s="187" t="s">
        <v>732</v>
      </c>
      <c r="K3" s="186" t="s">
        <v>738</v>
      </c>
      <c r="L3" s="188" t="s">
        <v>733</v>
      </c>
      <c r="M3" s="188" t="s">
        <v>739</v>
      </c>
      <c r="N3" s="186" t="s">
        <v>735</v>
      </c>
      <c r="O3" s="189" t="s">
        <v>740</v>
      </c>
      <c r="P3" s="189" t="s">
        <v>741</v>
      </c>
      <c r="Q3" s="192" t="s">
        <v>742</v>
      </c>
    </row>
    <row r="4" spans="1:17" ht="19.5" thickTop="1">
      <c r="A4" s="193" t="s">
        <v>743</v>
      </c>
      <c r="B4" s="194" t="s">
        <v>744</v>
      </c>
      <c r="C4" s="195" t="s">
        <v>746</v>
      </c>
      <c r="D4" s="196" t="s">
        <v>748</v>
      </c>
      <c r="E4" s="196">
        <v>2</v>
      </c>
      <c r="F4" s="196" t="s">
        <v>750</v>
      </c>
      <c r="G4" s="195" t="s">
        <v>751</v>
      </c>
      <c r="H4" s="197" t="s">
        <v>434</v>
      </c>
      <c r="I4" s="184"/>
      <c r="J4" s="198"/>
      <c r="K4" s="199"/>
      <c r="L4" s="199"/>
      <c r="M4" s="200"/>
      <c r="N4" s="200"/>
      <c r="O4" s="201"/>
      <c r="P4" s="201"/>
      <c r="Q4" s="202"/>
    </row>
    <row r="5" spans="1:17">
      <c r="A5" s="203" t="s">
        <v>752</v>
      </c>
      <c r="B5" s="204" t="s">
        <v>753</v>
      </c>
      <c r="C5" s="205" t="s">
        <v>745</v>
      </c>
      <c r="D5" s="206" t="s">
        <v>747</v>
      </c>
      <c r="E5" s="206">
        <v>3</v>
      </c>
      <c r="F5" s="206" t="s">
        <v>749</v>
      </c>
      <c r="G5" s="205" t="s">
        <v>754</v>
      </c>
      <c r="H5" s="207" t="s">
        <v>435</v>
      </c>
      <c r="I5" s="184"/>
      <c r="J5" s="204"/>
      <c r="K5" s="205"/>
      <c r="L5" s="205"/>
      <c r="M5" s="206"/>
      <c r="N5" s="206"/>
      <c r="O5" s="208"/>
      <c r="P5" s="208"/>
      <c r="Q5" s="207"/>
    </row>
    <row r="6" spans="1:17">
      <c r="A6" s="193" t="s">
        <v>755</v>
      </c>
      <c r="B6" s="204" t="s">
        <v>753</v>
      </c>
      <c r="C6" s="205" t="s">
        <v>756</v>
      </c>
      <c r="D6" s="206" t="s">
        <v>757</v>
      </c>
      <c r="E6" s="206">
        <v>4</v>
      </c>
      <c r="F6" s="206" t="s">
        <v>758</v>
      </c>
      <c r="G6" s="205" t="s">
        <v>754</v>
      </c>
      <c r="H6" s="207" t="s">
        <v>759</v>
      </c>
      <c r="I6" s="184"/>
      <c r="J6" s="204"/>
      <c r="K6" s="205"/>
      <c r="L6" s="205"/>
      <c r="M6" s="206"/>
      <c r="N6" s="206"/>
      <c r="O6" s="209"/>
      <c r="P6" s="209"/>
      <c r="Q6" s="210"/>
    </row>
    <row r="7" spans="1:17">
      <c r="A7" s="203" t="s">
        <v>760</v>
      </c>
      <c r="B7" s="204" t="s">
        <v>753</v>
      </c>
      <c r="C7" s="205" t="s">
        <v>756</v>
      </c>
      <c r="D7" s="206" t="s">
        <v>757</v>
      </c>
      <c r="E7" s="206">
        <v>5</v>
      </c>
      <c r="F7" s="206" t="s">
        <v>761</v>
      </c>
      <c r="G7" s="205" t="s">
        <v>754</v>
      </c>
      <c r="H7" s="207" t="s">
        <v>436</v>
      </c>
      <c r="I7" s="184"/>
      <c r="J7" s="204"/>
      <c r="K7" s="205"/>
      <c r="L7" s="205"/>
      <c r="M7" s="206"/>
      <c r="N7" s="206"/>
      <c r="O7" s="208"/>
      <c r="P7" s="208"/>
      <c r="Q7" s="207"/>
    </row>
    <row r="8" spans="1:17">
      <c r="A8" s="203" t="s">
        <v>762</v>
      </c>
      <c r="B8" s="204" t="s">
        <v>753</v>
      </c>
      <c r="C8" s="205" t="s">
        <v>756</v>
      </c>
      <c r="D8" s="206" t="s">
        <v>757</v>
      </c>
      <c r="E8" s="206">
        <v>6</v>
      </c>
      <c r="F8" s="206" t="s">
        <v>761</v>
      </c>
      <c r="G8" s="205" t="s">
        <v>754</v>
      </c>
      <c r="H8" s="207" t="s">
        <v>437</v>
      </c>
      <c r="I8" s="184"/>
      <c r="J8" s="204"/>
      <c r="K8" s="205"/>
      <c r="L8" s="205"/>
      <c r="M8" s="206"/>
      <c r="N8" s="206"/>
      <c r="O8" s="208"/>
      <c r="P8" s="208"/>
      <c r="Q8" s="207"/>
    </row>
    <row r="9" spans="1:17">
      <c r="A9" s="193" t="s">
        <v>763</v>
      </c>
      <c r="B9" s="204" t="s">
        <v>753</v>
      </c>
      <c r="C9" s="205" t="s">
        <v>745</v>
      </c>
      <c r="D9" s="206" t="s">
        <v>747</v>
      </c>
      <c r="E9" s="206">
        <v>7</v>
      </c>
      <c r="F9" s="206" t="s">
        <v>761</v>
      </c>
      <c r="G9" s="205" t="s">
        <v>754</v>
      </c>
      <c r="H9" s="207" t="s">
        <v>438</v>
      </c>
      <c r="I9" s="184"/>
      <c r="J9" s="204"/>
      <c r="K9" s="205"/>
      <c r="L9" s="205"/>
      <c r="M9" s="206"/>
      <c r="N9" s="206"/>
      <c r="O9" s="208"/>
      <c r="P9" s="208"/>
      <c r="Q9" s="207"/>
    </row>
    <row r="10" spans="1:17" ht="43.5" customHeight="1">
      <c r="A10" s="203" t="s">
        <v>764</v>
      </c>
      <c r="B10" s="204" t="s">
        <v>753</v>
      </c>
      <c r="C10" s="205" t="s">
        <v>765</v>
      </c>
      <c r="D10" s="206" t="s">
        <v>766</v>
      </c>
      <c r="E10" s="206" t="s">
        <v>767</v>
      </c>
      <c r="F10" s="206" t="s">
        <v>768</v>
      </c>
      <c r="G10" s="205" t="s">
        <v>769</v>
      </c>
      <c r="H10" s="207" t="s">
        <v>18</v>
      </c>
      <c r="I10" s="184"/>
      <c r="J10" s="204" t="s">
        <v>770</v>
      </c>
      <c r="K10" s="205" t="s">
        <v>290</v>
      </c>
      <c r="L10" s="205"/>
      <c r="M10" s="211" t="s">
        <v>771</v>
      </c>
      <c r="N10" s="211" t="s">
        <v>772</v>
      </c>
      <c r="O10" s="209" t="s">
        <v>773</v>
      </c>
      <c r="P10" s="209"/>
      <c r="Q10" s="210"/>
    </row>
    <row r="11" spans="1:17">
      <c r="A11" s="203" t="s">
        <v>774</v>
      </c>
      <c r="B11" s="204" t="s">
        <v>753</v>
      </c>
      <c r="C11" s="205" t="s">
        <v>775</v>
      </c>
      <c r="D11" s="206" t="s">
        <v>776</v>
      </c>
      <c r="E11" s="206" t="s">
        <v>767</v>
      </c>
      <c r="F11" s="206" t="s">
        <v>777</v>
      </c>
      <c r="G11" s="205" t="s">
        <v>769</v>
      </c>
      <c r="H11" s="207" t="s">
        <v>778</v>
      </c>
      <c r="I11" s="184"/>
      <c r="J11" s="204"/>
      <c r="K11" s="205"/>
      <c r="L11" s="205"/>
      <c r="M11" s="211"/>
      <c r="N11" s="211"/>
      <c r="O11" s="208"/>
      <c r="P11" s="208"/>
      <c r="Q11" s="207"/>
    </row>
    <row r="12" spans="1:17" ht="71.25">
      <c r="A12" s="193" t="s">
        <v>779</v>
      </c>
      <c r="B12" s="204" t="s">
        <v>780</v>
      </c>
      <c r="C12" s="205" t="s">
        <v>775</v>
      </c>
      <c r="D12" s="206" t="s">
        <v>781</v>
      </c>
      <c r="E12" s="206" t="s">
        <v>767</v>
      </c>
      <c r="F12" s="206" t="s">
        <v>761</v>
      </c>
      <c r="G12" s="205" t="s">
        <v>769</v>
      </c>
      <c r="H12" s="210" t="s">
        <v>782</v>
      </c>
      <c r="I12" s="184"/>
      <c r="J12" s="204" t="s">
        <v>770</v>
      </c>
      <c r="K12" s="205" t="s">
        <v>783</v>
      </c>
      <c r="L12" s="205" t="s">
        <v>775</v>
      </c>
      <c r="M12" s="211" t="s">
        <v>784</v>
      </c>
      <c r="N12" s="212">
        <v>9</v>
      </c>
      <c r="O12" s="209" t="s">
        <v>785</v>
      </c>
      <c r="P12" s="209"/>
      <c r="Q12" s="210"/>
    </row>
    <row r="13" spans="1:17" ht="28.5">
      <c r="A13" s="203" t="s">
        <v>786</v>
      </c>
      <c r="B13" s="204" t="s">
        <v>753</v>
      </c>
      <c r="C13" s="205" t="s">
        <v>775</v>
      </c>
      <c r="D13" s="206" t="s">
        <v>787</v>
      </c>
      <c r="E13" s="206" t="s">
        <v>767</v>
      </c>
      <c r="F13" s="206" t="s">
        <v>788</v>
      </c>
      <c r="G13" s="205" t="s">
        <v>769</v>
      </c>
      <c r="H13" s="207" t="s">
        <v>408</v>
      </c>
      <c r="I13" s="184"/>
      <c r="J13" s="204" t="s">
        <v>770</v>
      </c>
      <c r="K13" s="205" t="s">
        <v>789</v>
      </c>
      <c r="L13" s="205" t="s">
        <v>790</v>
      </c>
      <c r="M13" s="211" t="s">
        <v>791</v>
      </c>
      <c r="N13" s="211">
        <v>21</v>
      </c>
      <c r="O13" s="209" t="s">
        <v>792</v>
      </c>
      <c r="P13" s="209"/>
      <c r="Q13" s="207"/>
    </row>
    <row r="14" spans="1:17" ht="28.5">
      <c r="A14" s="203" t="s">
        <v>793</v>
      </c>
      <c r="B14" s="204" t="s">
        <v>753</v>
      </c>
      <c r="C14" s="205" t="s">
        <v>794</v>
      </c>
      <c r="D14" s="206" t="s">
        <v>795</v>
      </c>
      <c r="E14" s="206" t="s">
        <v>767</v>
      </c>
      <c r="F14" s="206" t="s">
        <v>788</v>
      </c>
      <c r="G14" s="205" t="s">
        <v>769</v>
      </c>
      <c r="H14" s="207" t="s">
        <v>409</v>
      </c>
      <c r="I14" s="184"/>
      <c r="J14" s="204" t="s">
        <v>770</v>
      </c>
      <c r="K14" s="205" t="s">
        <v>796</v>
      </c>
      <c r="L14" s="205" t="s">
        <v>790</v>
      </c>
      <c r="M14" s="211" t="s">
        <v>791</v>
      </c>
      <c r="N14" s="211">
        <v>22</v>
      </c>
      <c r="O14" s="209" t="s">
        <v>797</v>
      </c>
      <c r="P14" s="209"/>
      <c r="Q14" s="207"/>
    </row>
    <row r="15" spans="1:17">
      <c r="A15" s="193" t="s">
        <v>798</v>
      </c>
      <c r="B15" s="204" t="s">
        <v>753</v>
      </c>
      <c r="C15" s="205" t="s">
        <v>794</v>
      </c>
      <c r="D15" s="206" t="s">
        <v>799</v>
      </c>
      <c r="E15" s="206" t="s">
        <v>767</v>
      </c>
      <c r="F15" s="206" t="s">
        <v>761</v>
      </c>
      <c r="G15" s="205" t="s">
        <v>769</v>
      </c>
      <c r="H15" s="207" t="s">
        <v>800</v>
      </c>
      <c r="I15" s="184"/>
      <c r="J15" s="204"/>
      <c r="K15" s="205"/>
      <c r="L15" s="205"/>
      <c r="M15" s="211"/>
      <c r="N15" s="211"/>
      <c r="O15" s="208"/>
      <c r="P15" s="208"/>
      <c r="Q15" s="207"/>
    </row>
    <row r="16" spans="1:17" ht="28.5">
      <c r="A16" s="203" t="s">
        <v>801</v>
      </c>
      <c r="B16" s="204"/>
      <c r="C16" s="205"/>
      <c r="D16" s="206"/>
      <c r="E16" s="206"/>
      <c r="F16" s="206" t="s">
        <v>788</v>
      </c>
      <c r="G16" s="205" t="s">
        <v>769</v>
      </c>
      <c r="H16" s="207"/>
      <c r="I16" s="184"/>
      <c r="J16" s="204" t="s">
        <v>770</v>
      </c>
      <c r="K16" s="205" t="s">
        <v>802</v>
      </c>
      <c r="L16" s="205" t="s">
        <v>794</v>
      </c>
      <c r="M16" s="211" t="s">
        <v>791</v>
      </c>
      <c r="N16" s="211">
        <v>9</v>
      </c>
      <c r="O16" s="209" t="s">
        <v>803</v>
      </c>
      <c r="P16" s="209" t="s">
        <v>804</v>
      </c>
      <c r="Q16" s="207"/>
    </row>
    <row r="17" spans="1:17" ht="99.75">
      <c r="A17" s="193" t="s">
        <v>805</v>
      </c>
      <c r="B17" s="204" t="s">
        <v>753</v>
      </c>
      <c r="C17" s="205" t="s">
        <v>794</v>
      </c>
      <c r="D17" s="206" t="s">
        <v>806</v>
      </c>
      <c r="E17" s="206" t="s">
        <v>767</v>
      </c>
      <c r="F17" s="206" t="s">
        <v>788</v>
      </c>
      <c r="G17" s="205" t="s">
        <v>769</v>
      </c>
      <c r="H17" s="207" t="s">
        <v>807</v>
      </c>
      <c r="I17" s="184"/>
      <c r="J17" s="204" t="s">
        <v>770</v>
      </c>
      <c r="K17" s="205" t="s">
        <v>11</v>
      </c>
      <c r="L17" s="205" t="s">
        <v>790</v>
      </c>
      <c r="M17" s="211" t="s">
        <v>791</v>
      </c>
      <c r="N17" s="211">
        <v>25</v>
      </c>
      <c r="O17" s="209" t="s">
        <v>808</v>
      </c>
      <c r="P17" s="209"/>
      <c r="Q17" s="207"/>
    </row>
    <row r="18" spans="1:17" ht="85.5">
      <c r="A18" s="203" t="s">
        <v>809</v>
      </c>
      <c r="B18" s="204" t="s">
        <v>753</v>
      </c>
      <c r="C18" s="205" t="s">
        <v>794</v>
      </c>
      <c r="D18" s="206" t="s">
        <v>810</v>
      </c>
      <c r="E18" s="206" t="s">
        <v>767</v>
      </c>
      <c r="F18" s="206" t="s">
        <v>768</v>
      </c>
      <c r="G18" s="205" t="s">
        <v>769</v>
      </c>
      <c r="H18" s="207" t="s">
        <v>811</v>
      </c>
      <c r="I18" s="184"/>
      <c r="J18" s="204" t="s">
        <v>770</v>
      </c>
      <c r="K18" s="205" t="s">
        <v>812</v>
      </c>
      <c r="L18" s="205" t="s">
        <v>813</v>
      </c>
      <c r="M18" s="211" t="s">
        <v>814</v>
      </c>
      <c r="N18" s="211">
        <v>29</v>
      </c>
      <c r="O18" s="209" t="s">
        <v>815</v>
      </c>
      <c r="P18" s="209"/>
      <c r="Q18" s="207"/>
    </row>
    <row r="19" spans="1:17">
      <c r="A19" s="203" t="s">
        <v>816</v>
      </c>
      <c r="B19" s="204" t="s">
        <v>753</v>
      </c>
      <c r="C19" s="205" t="s">
        <v>817</v>
      </c>
      <c r="D19" s="206" t="s">
        <v>818</v>
      </c>
      <c r="E19" s="206" t="s">
        <v>767</v>
      </c>
      <c r="F19" s="206" t="s">
        <v>788</v>
      </c>
      <c r="G19" s="205" t="s">
        <v>769</v>
      </c>
      <c r="H19" s="207" t="s">
        <v>819</v>
      </c>
      <c r="I19" s="184"/>
      <c r="J19" s="204" t="s">
        <v>770</v>
      </c>
      <c r="K19" s="205" t="s">
        <v>27</v>
      </c>
      <c r="L19" s="205" t="s">
        <v>790</v>
      </c>
      <c r="M19" s="211" t="s">
        <v>791</v>
      </c>
      <c r="N19" s="211">
        <v>32</v>
      </c>
      <c r="O19" s="208"/>
      <c r="P19" s="208"/>
      <c r="Q19" s="207"/>
    </row>
    <row r="20" spans="1:17" ht="99.75">
      <c r="A20" s="193" t="s">
        <v>820</v>
      </c>
      <c r="B20" s="204" t="s">
        <v>753</v>
      </c>
      <c r="C20" s="205" t="s">
        <v>794</v>
      </c>
      <c r="D20" s="206" t="s">
        <v>821</v>
      </c>
      <c r="E20" s="206" t="s">
        <v>767</v>
      </c>
      <c r="F20" s="206" t="s">
        <v>788</v>
      </c>
      <c r="G20" s="205" t="s">
        <v>769</v>
      </c>
      <c r="H20" s="207" t="s">
        <v>822</v>
      </c>
      <c r="I20" s="184"/>
      <c r="J20" s="204" t="s">
        <v>770</v>
      </c>
      <c r="K20" s="205" t="s">
        <v>823</v>
      </c>
      <c r="L20" s="205" t="s">
        <v>790</v>
      </c>
      <c r="M20" s="211" t="s">
        <v>791</v>
      </c>
      <c r="N20" s="211">
        <v>24</v>
      </c>
      <c r="O20" s="209" t="s">
        <v>824</v>
      </c>
      <c r="P20" s="209"/>
      <c r="Q20" s="207"/>
    </row>
    <row r="21" spans="1:17" ht="99.75">
      <c r="A21" s="203" t="s">
        <v>825</v>
      </c>
      <c r="B21" s="204" t="s">
        <v>753</v>
      </c>
      <c r="C21" s="205" t="s">
        <v>794</v>
      </c>
      <c r="D21" s="206" t="s">
        <v>826</v>
      </c>
      <c r="E21" s="206" t="s">
        <v>767</v>
      </c>
      <c r="F21" s="206" t="s">
        <v>768</v>
      </c>
      <c r="G21" s="205" t="s">
        <v>769</v>
      </c>
      <c r="H21" s="207" t="s">
        <v>827</v>
      </c>
      <c r="I21" s="184"/>
      <c r="J21" s="204" t="s">
        <v>770</v>
      </c>
      <c r="K21" s="205" t="s">
        <v>828</v>
      </c>
      <c r="L21" s="205" t="s">
        <v>829</v>
      </c>
      <c r="M21" s="211" t="s">
        <v>771</v>
      </c>
      <c r="N21" s="211">
        <v>19</v>
      </c>
      <c r="O21" s="209" t="s">
        <v>830</v>
      </c>
      <c r="P21" s="209"/>
      <c r="Q21" s="210"/>
    </row>
    <row r="22" spans="1:17" ht="221.25" customHeight="1">
      <c r="A22" s="203" t="s">
        <v>831</v>
      </c>
      <c r="B22" s="204" t="s">
        <v>753</v>
      </c>
      <c r="C22" s="205" t="s">
        <v>775</v>
      </c>
      <c r="D22" s="206" t="s">
        <v>832</v>
      </c>
      <c r="E22" s="206" t="s">
        <v>767</v>
      </c>
      <c r="F22" s="206" t="s">
        <v>788</v>
      </c>
      <c r="G22" s="205" t="s">
        <v>769</v>
      </c>
      <c r="H22" s="210" t="s">
        <v>833</v>
      </c>
      <c r="I22" s="213"/>
      <c r="J22" s="204" t="s">
        <v>770</v>
      </c>
      <c r="K22" s="205" t="s">
        <v>834</v>
      </c>
      <c r="L22" s="205" t="s">
        <v>790</v>
      </c>
      <c r="M22" s="211" t="s">
        <v>791</v>
      </c>
      <c r="N22" s="211">
        <v>16</v>
      </c>
      <c r="O22" s="209" t="s">
        <v>835</v>
      </c>
      <c r="P22" s="209"/>
      <c r="Q22" s="210"/>
    </row>
    <row r="23" spans="1:17">
      <c r="A23" s="193" t="s">
        <v>836</v>
      </c>
      <c r="B23" s="204" t="s">
        <v>753</v>
      </c>
      <c r="C23" s="205" t="s">
        <v>794</v>
      </c>
      <c r="D23" s="206" t="s">
        <v>837</v>
      </c>
      <c r="E23" s="206" t="s">
        <v>767</v>
      </c>
      <c r="F23" s="206" t="s">
        <v>777</v>
      </c>
      <c r="G23" s="205" t="s">
        <v>769</v>
      </c>
      <c r="H23" s="207" t="s">
        <v>838</v>
      </c>
      <c r="I23" s="184"/>
      <c r="J23" s="204"/>
      <c r="K23" s="205"/>
      <c r="L23" s="205"/>
      <c r="M23" s="211"/>
      <c r="N23" s="211"/>
      <c r="O23" s="208"/>
      <c r="P23" s="208"/>
      <c r="Q23" s="207"/>
    </row>
    <row r="24" spans="1:17">
      <c r="A24" s="203" t="s">
        <v>839</v>
      </c>
      <c r="B24" s="204" t="s">
        <v>753</v>
      </c>
      <c r="C24" s="205" t="s">
        <v>775</v>
      </c>
      <c r="D24" s="206" t="s">
        <v>840</v>
      </c>
      <c r="E24" s="206" t="s">
        <v>767</v>
      </c>
      <c r="F24" s="206" t="s">
        <v>777</v>
      </c>
      <c r="G24" s="205" t="s">
        <v>769</v>
      </c>
      <c r="H24" s="207" t="s">
        <v>841</v>
      </c>
      <c r="I24" s="184"/>
      <c r="J24" s="204"/>
      <c r="K24" s="205"/>
      <c r="L24" s="205"/>
      <c r="M24" s="211"/>
      <c r="N24" s="211"/>
      <c r="O24" s="208"/>
      <c r="P24" s="208"/>
      <c r="Q24" s="207"/>
    </row>
    <row r="25" spans="1:17" ht="28.5">
      <c r="A25" s="203" t="s">
        <v>842</v>
      </c>
      <c r="B25" s="204" t="s">
        <v>753</v>
      </c>
      <c r="C25" s="205" t="s">
        <v>775</v>
      </c>
      <c r="D25" s="206" t="s">
        <v>843</v>
      </c>
      <c r="E25" s="206" t="s">
        <v>767</v>
      </c>
      <c r="F25" s="206" t="s">
        <v>788</v>
      </c>
      <c r="G25" s="205" t="s">
        <v>769</v>
      </c>
      <c r="H25" s="207" t="s">
        <v>844</v>
      </c>
      <c r="I25" s="184"/>
      <c r="J25" s="204" t="s">
        <v>770</v>
      </c>
      <c r="K25" s="205" t="s">
        <v>845</v>
      </c>
      <c r="L25" s="205" t="s">
        <v>790</v>
      </c>
      <c r="M25" s="211" t="s">
        <v>791</v>
      </c>
      <c r="N25" s="211">
        <v>34</v>
      </c>
      <c r="O25" s="209" t="s">
        <v>846</v>
      </c>
      <c r="P25" s="209"/>
      <c r="Q25" s="207"/>
    </row>
    <row r="26" spans="1:17">
      <c r="A26" s="193" t="s">
        <v>847</v>
      </c>
      <c r="B26" s="204" t="s">
        <v>753</v>
      </c>
      <c r="C26" s="205" t="s">
        <v>794</v>
      </c>
      <c r="D26" s="206" t="s">
        <v>848</v>
      </c>
      <c r="E26" s="206" t="s">
        <v>767</v>
      </c>
      <c r="F26" s="206" t="s">
        <v>777</v>
      </c>
      <c r="G26" s="205" t="s">
        <v>769</v>
      </c>
      <c r="H26" s="207" t="s">
        <v>439</v>
      </c>
      <c r="I26" s="184"/>
      <c r="J26" s="204"/>
      <c r="K26" s="205"/>
      <c r="L26" s="205"/>
      <c r="M26" s="211"/>
      <c r="N26" s="211"/>
      <c r="O26" s="209"/>
      <c r="P26" s="209"/>
      <c r="Q26" s="210"/>
    </row>
    <row r="27" spans="1:17" ht="53.25" customHeight="1">
      <c r="A27" s="203" t="s">
        <v>849</v>
      </c>
      <c r="B27" s="204" t="s">
        <v>753</v>
      </c>
      <c r="C27" s="205" t="s">
        <v>850</v>
      </c>
      <c r="D27" s="206" t="s">
        <v>781</v>
      </c>
      <c r="E27" s="206" t="s">
        <v>767</v>
      </c>
      <c r="F27" s="206" t="s">
        <v>777</v>
      </c>
      <c r="G27" s="205" t="s">
        <v>851</v>
      </c>
      <c r="H27" s="207" t="s">
        <v>852</v>
      </c>
      <c r="I27" s="184"/>
      <c r="J27" s="204"/>
      <c r="K27" s="205"/>
      <c r="L27" s="205"/>
      <c r="M27" s="211"/>
      <c r="N27" s="211"/>
      <c r="O27" s="214"/>
      <c r="P27" s="214"/>
      <c r="Q27" s="207"/>
    </row>
    <row r="28" spans="1:17">
      <c r="A28" s="193" t="s">
        <v>853</v>
      </c>
      <c r="B28" s="204" t="s">
        <v>753</v>
      </c>
      <c r="C28" s="205" t="s">
        <v>850</v>
      </c>
      <c r="D28" s="206" t="s">
        <v>781</v>
      </c>
      <c r="E28" s="206" t="s">
        <v>767</v>
      </c>
      <c r="F28" s="206" t="s">
        <v>788</v>
      </c>
      <c r="G28" s="205" t="s">
        <v>851</v>
      </c>
      <c r="H28" s="207" t="s">
        <v>854</v>
      </c>
      <c r="I28" s="184"/>
      <c r="J28" s="204" t="s">
        <v>770</v>
      </c>
      <c r="K28" s="205" t="s">
        <v>812</v>
      </c>
      <c r="L28" s="205" t="s">
        <v>813</v>
      </c>
      <c r="M28" s="211" t="s">
        <v>814</v>
      </c>
      <c r="N28" s="211">
        <v>29</v>
      </c>
      <c r="O28" s="208"/>
      <c r="P28" s="208"/>
      <c r="Q28" s="207"/>
    </row>
    <row r="29" spans="1:17">
      <c r="A29" s="203" t="s">
        <v>855</v>
      </c>
      <c r="B29" s="204" t="s">
        <v>753</v>
      </c>
      <c r="C29" s="205" t="s">
        <v>856</v>
      </c>
      <c r="D29" s="206" t="s">
        <v>857</v>
      </c>
      <c r="E29" s="206" t="s">
        <v>767</v>
      </c>
      <c r="F29" s="206" t="s">
        <v>777</v>
      </c>
      <c r="G29" s="205" t="s">
        <v>851</v>
      </c>
      <c r="H29" s="207" t="s">
        <v>858</v>
      </c>
      <c r="I29" s="184"/>
      <c r="J29" s="204"/>
      <c r="K29" s="205"/>
      <c r="L29" s="205"/>
      <c r="M29" s="211"/>
      <c r="N29" s="211"/>
      <c r="O29" s="214"/>
      <c r="P29" s="214"/>
      <c r="Q29" s="207"/>
    </row>
    <row r="30" spans="1:17">
      <c r="A30" s="203" t="s">
        <v>859</v>
      </c>
      <c r="B30" s="204" t="s">
        <v>753</v>
      </c>
      <c r="C30" s="205" t="s">
        <v>860</v>
      </c>
      <c r="D30" s="206" t="s">
        <v>862</v>
      </c>
      <c r="E30" s="206" t="s">
        <v>767</v>
      </c>
      <c r="F30" s="206" t="s">
        <v>788</v>
      </c>
      <c r="G30" s="205" t="s">
        <v>851</v>
      </c>
      <c r="H30" s="207" t="s">
        <v>863</v>
      </c>
      <c r="I30" s="184"/>
      <c r="J30" s="204" t="s">
        <v>770</v>
      </c>
      <c r="K30" s="205" t="s">
        <v>864</v>
      </c>
      <c r="L30" s="205" t="s">
        <v>865</v>
      </c>
      <c r="M30" s="211" t="s">
        <v>866</v>
      </c>
      <c r="N30" s="211">
        <v>36</v>
      </c>
      <c r="O30" s="209"/>
      <c r="P30" s="209"/>
      <c r="Q30" s="210"/>
    </row>
    <row r="31" spans="1:17">
      <c r="A31" s="193" t="s">
        <v>867</v>
      </c>
      <c r="B31" s="204" t="s">
        <v>868</v>
      </c>
      <c r="C31" s="205" t="s">
        <v>869</v>
      </c>
      <c r="D31" s="206" t="s">
        <v>870</v>
      </c>
      <c r="E31" s="206" t="s">
        <v>767</v>
      </c>
      <c r="F31" s="215" t="s">
        <v>788</v>
      </c>
      <c r="G31" s="205" t="s">
        <v>871</v>
      </c>
      <c r="H31" s="207" t="s">
        <v>18</v>
      </c>
      <c r="I31" s="184"/>
      <c r="J31" s="204" t="s">
        <v>868</v>
      </c>
      <c r="K31" s="205" t="s">
        <v>290</v>
      </c>
      <c r="L31" s="205" t="s">
        <v>794</v>
      </c>
      <c r="M31" s="206" t="s">
        <v>872</v>
      </c>
      <c r="N31" s="206" t="s">
        <v>767</v>
      </c>
      <c r="O31" s="208"/>
      <c r="P31" s="208"/>
      <c r="Q31" s="207"/>
    </row>
    <row r="32" spans="1:17">
      <c r="A32" s="203" t="s">
        <v>873</v>
      </c>
      <c r="B32" s="204"/>
      <c r="C32" s="205"/>
      <c r="D32" s="206"/>
      <c r="E32" s="206"/>
      <c r="F32" s="206"/>
      <c r="G32" s="205"/>
      <c r="H32" s="207"/>
      <c r="I32" s="184"/>
      <c r="J32" s="204" t="s">
        <v>868</v>
      </c>
      <c r="K32" s="205" t="s">
        <v>874</v>
      </c>
      <c r="L32" s="205" t="s">
        <v>775</v>
      </c>
      <c r="M32" s="206" t="s">
        <v>875</v>
      </c>
      <c r="N32" s="206" t="s">
        <v>767</v>
      </c>
      <c r="O32" s="208" t="s">
        <v>876</v>
      </c>
      <c r="P32" s="208"/>
      <c r="Q32" s="207"/>
    </row>
    <row r="33" spans="1:17" ht="28.5">
      <c r="A33" s="193" t="s">
        <v>877</v>
      </c>
      <c r="B33" s="204"/>
      <c r="C33" s="205"/>
      <c r="D33" s="206"/>
      <c r="E33" s="206"/>
      <c r="F33" s="206" t="s">
        <v>878</v>
      </c>
      <c r="G33" s="205"/>
      <c r="H33" s="207"/>
      <c r="I33" s="184"/>
      <c r="J33" s="204" t="s">
        <v>868</v>
      </c>
      <c r="K33" s="205" t="s">
        <v>879</v>
      </c>
      <c r="L33" s="205" t="s">
        <v>794</v>
      </c>
      <c r="M33" s="206" t="s">
        <v>880</v>
      </c>
      <c r="N33" s="206" t="s">
        <v>767</v>
      </c>
      <c r="O33" s="209" t="s">
        <v>881</v>
      </c>
      <c r="P33" s="209"/>
      <c r="Q33" s="207"/>
    </row>
    <row r="34" spans="1:17">
      <c r="A34" s="203" t="s">
        <v>882</v>
      </c>
      <c r="B34" s="204"/>
      <c r="C34" s="205"/>
      <c r="D34" s="206"/>
      <c r="E34" s="206"/>
      <c r="F34" s="206" t="s">
        <v>777</v>
      </c>
      <c r="G34" s="205"/>
      <c r="H34" s="207"/>
      <c r="I34" s="184"/>
      <c r="J34" s="204" t="s">
        <v>868</v>
      </c>
      <c r="K34" s="205" t="s">
        <v>379</v>
      </c>
      <c r="L34" s="205" t="s">
        <v>775</v>
      </c>
      <c r="M34" s="206" t="s">
        <v>776</v>
      </c>
      <c r="N34" s="206" t="s">
        <v>767</v>
      </c>
      <c r="O34" s="208"/>
      <c r="P34" s="208"/>
      <c r="Q34" s="207"/>
    </row>
    <row r="35" spans="1:17">
      <c r="A35" s="203" t="s">
        <v>883</v>
      </c>
      <c r="B35" s="204" t="s">
        <v>868</v>
      </c>
      <c r="C35" s="205" t="s">
        <v>775</v>
      </c>
      <c r="D35" s="206" t="s">
        <v>875</v>
      </c>
      <c r="E35" s="206" t="s">
        <v>767</v>
      </c>
      <c r="F35" s="206" t="s">
        <v>788</v>
      </c>
      <c r="G35" s="205" t="s">
        <v>871</v>
      </c>
      <c r="H35" s="207" t="s">
        <v>884</v>
      </c>
      <c r="I35" s="184"/>
      <c r="J35" s="204" t="s">
        <v>868</v>
      </c>
      <c r="K35" s="216" t="s">
        <v>885</v>
      </c>
      <c r="L35" s="205" t="s">
        <v>794</v>
      </c>
      <c r="M35" s="206" t="s">
        <v>886</v>
      </c>
      <c r="N35" s="206" t="s">
        <v>767</v>
      </c>
      <c r="O35" s="208"/>
      <c r="P35" s="208"/>
      <c r="Q35" s="207"/>
    </row>
    <row r="36" spans="1:17">
      <c r="A36" s="193" t="s">
        <v>887</v>
      </c>
      <c r="B36" s="204" t="s">
        <v>868</v>
      </c>
      <c r="C36" s="205" t="s">
        <v>775</v>
      </c>
      <c r="D36" s="206" t="s">
        <v>888</v>
      </c>
      <c r="E36" s="206" t="s">
        <v>767</v>
      </c>
      <c r="F36" s="206" t="s">
        <v>788</v>
      </c>
      <c r="G36" s="205" t="s">
        <v>871</v>
      </c>
      <c r="H36" s="207" t="s">
        <v>889</v>
      </c>
      <c r="I36" s="184"/>
      <c r="J36" s="204" t="s">
        <v>868</v>
      </c>
      <c r="K36" s="205" t="s">
        <v>890</v>
      </c>
      <c r="L36" s="205" t="s">
        <v>794</v>
      </c>
      <c r="M36" s="206" t="s">
        <v>891</v>
      </c>
      <c r="N36" s="206" t="s">
        <v>767</v>
      </c>
      <c r="O36" s="208"/>
      <c r="P36" s="208"/>
      <c r="Q36" s="207"/>
    </row>
    <row r="37" spans="1:17">
      <c r="A37" s="203" t="s">
        <v>892</v>
      </c>
      <c r="B37" s="204" t="s">
        <v>868</v>
      </c>
      <c r="C37" s="205" t="s">
        <v>775</v>
      </c>
      <c r="D37" s="206" t="s">
        <v>776</v>
      </c>
      <c r="E37" s="206" t="s">
        <v>767</v>
      </c>
      <c r="F37" s="206" t="s">
        <v>788</v>
      </c>
      <c r="G37" s="205" t="s">
        <v>871</v>
      </c>
      <c r="H37" s="207" t="s">
        <v>893</v>
      </c>
      <c r="I37" s="184"/>
      <c r="J37" s="204" t="s">
        <v>868</v>
      </c>
      <c r="K37" s="205" t="s">
        <v>9</v>
      </c>
      <c r="L37" s="205" t="s">
        <v>794</v>
      </c>
      <c r="M37" s="206" t="s">
        <v>894</v>
      </c>
      <c r="N37" s="206" t="s">
        <v>767</v>
      </c>
      <c r="O37" s="208"/>
      <c r="P37" s="208"/>
      <c r="Q37" s="207"/>
    </row>
    <row r="38" spans="1:17" ht="28.5">
      <c r="A38" s="203" t="s">
        <v>895</v>
      </c>
      <c r="B38" s="204" t="s">
        <v>868</v>
      </c>
      <c r="C38" s="205" t="s">
        <v>775</v>
      </c>
      <c r="D38" s="206" t="s">
        <v>781</v>
      </c>
      <c r="E38" s="206" t="s">
        <v>767</v>
      </c>
      <c r="F38" s="206" t="s">
        <v>788</v>
      </c>
      <c r="G38" s="205" t="s">
        <v>871</v>
      </c>
      <c r="H38" s="210" t="s">
        <v>896</v>
      </c>
      <c r="I38" s="184"/>
      <c r="J38" s="217" t="s">
        <v>868</v>
      </c>
      <c r="K38" s="205" t="s">
        <v>897</v>
      </c>
      <c r="L38" s="205" t="s">
        <v>794</v>
      </c>
      <c r="M38" s="206" t="s">
        <v>799</v>
      </c>
      <c r="N38" s="206" t="s">
        <v>767</v>
      </c>
      <c r="O38" s="208"/>
      <c r="P38" s="208"/>
      <c r="Q38" s="207"/>
    </row>
    <row r="39" spans="1:17">
      <c r="A39" s="193" t="s">
        <v>898</v>
      </c>
      <c r="B39" s="204" t="s">
        <v>868</v>
      </c>
      <c r="C39" s="205" t="s">
        <v>775</v>
      </c>
      <c r="D39" s="206" t="s">
        <v>787</v>
      </c>
      <c r="E39" s="206" t="s">
        <v>767</v>
      </c>
      <c r="F39" s="206" t="s">
        <v>788</v>
      </c>
      <c r="G39" s="205" t="s">
        <v>871</v>
      </c>
      <c r="H39" s="207" t="s">
        <v>20</v>
      </c>
      <c r="I39" s="184"/>
      <c r="J39" s="204" t="s">
        <v>868</v>
      </c>
      <c r="K39" s="205" t="s">
        <v>899</v>
      </c>
      <c r="L39" s="205" t="s">
        <v>794</v>
      </c>
      <c r="M39" s="206" t="s">
        <v>900</v>
      </c>
      <c r="N39" s="206" t="s">
        <v>767</v>
      </c>
      <c r="O39" s="208"/>
      <c r="P39" s="208"/>
      <c r="Q39" s="207"/>
    </row>
    <row r="40" spans="1:17">
      <c r="A40" s="203" t="s">
        <v>901</v>
      </c>
      <c r="B40" s="204" t="s">
        <v>868</v>
      </c>
      <c r="C40" s="205" t="s">
        <v>775</v>
      </c>
      <c r="D40" s="206" t="s">
        <v>902</v>
      </c>
      <c r="E40" s="206" t="s">
        <v>767</v>
      </c>
      <c r="F40" s="206" t="s">
        <v>788</v>
      </c>
      <c r="G40" s="205" t="s">
        <v>871</v>
      </c>
      <c r="H40" s="207" t="s">
        <v>25</v>
      </c>
      <c r="I40" s="184"/>
      <c r="J40" s="204" t="s">
        <v>868</v>
      </c>
      <c r="K40" s="205" t="s">
        <v>903</v>
      </c>
      <c r="L40" s="205" t="s">
        <v>794</v>
      </c>
      <c r="M40" s="206" t="s">
        <v>848</v>
      </c>
      <c r="N40" s="206" t="s">
        <v>767</v>
      </c>
      <c r="O40" s="208"/>
      <c r="P40" s="208"/>
      <c r="Q40" s="207"/>
    </row>
    <row r="41" spans="1:17">
      <c r="A41" s="203" t="s">
        <v>904</v>
      </c>
      <c r="B41" s="204" t="s">
        <v>868</v>
      </c>
      <c r="C41" s="205" t="s">
        <v>775</v>
      </c>
      <c r="D41" s="206" t="s">
        <v>905</v>
      </c>
      <c r="E41" s="206" t="s">
        <v>767</v>
      </c>
      <c r="F41" s="206" t="s">
        <v>788</v>
      </c>
      <c r="G41" s="205" t="s">
        <v>906</v>
      </c>
      <c r="H41" s="207" t="s">
        <v>18</v>
      </c>
      <c r="I41" s="184"/>
      <c r="J41" s="204" t="s">
        <v>907</v>
      </c>
      <c r="K41" s="205" t="s">
        <v>908</v>
      </c>
      <c r="L41" s="205" t="s">
        <v>794</v>
      </c>
      <c r="M41" s="206" t="s">
        <v>872</v>
      </c>
      <c r="N41" s="206" t="s">
        <v>767</v>
      </c>
      <c r="O41" s="208"/>
      <c r="P41" s="208"/>
      <c r="Q41" s="207"/>
    </row>
    <row r="42" spans="1:17" ht="85.5">
      <c r="A42" s="193" t="s">
        <v>909</v>
      </c>
      <c r="B42" s="204" t="s">
        <v>868</v>
      </c>
      <c r="C42" s="205" t="s">
        <v>775</v>
      </c>
      <c r="D42" s="206" t="s">
        <v>875</v>
      </c>
      <c r="E42" s="206" t="s">
        <v>767</v>
      </c>
      <c r="F42" s="206" t="s">
        <v>788</v>
      </c>
      <c r="G42" s="205" t="s">
        <v>906</v>
      </c>
      <c r="H42" s="210" t="s">
        <v>182</v>
      </c>
      <c r="I42" s="184"/>
      <c r="J42" s="204" t="s">
        <v>907</v>
      </c>
      <c r="K42" s="218" t="s">
        <v>910</v>
      </c>
      <c r="L42" s="205" t="s">
        <v>794</v>
      </c>
      <c r="M42" s="206" t="s">
        <v>911</v>
      </c>
      <c r="N42" s="206" t="s">
        <v>767</v>
      </c>
      <c r="O42" s="209"/>
      <c r="P42" s="209"/>
      <c r="Q42" s="210"/>
    </row>
    <row r="43" spans="1:17" ht="57">
      <c r="A43" s="203" t="s">
        <v>912</v>
      </c>
      <c r="B43" s="204" t="s">
        <v>868</v>
      </c>
      <c r="C43" s="205" t="s">
        <v>775</v>
      </c>
      <c r="D43" s="206" t="s">
        <v>888</v>
      </c>
      <c r="E43" s="206" t="s">
        <v>767</v>
      </c>
      <c r="F43" s="206" t="s">
        <v>788</v>
      </c>
      <c r="G43" s="205" t="s">
        <v>906</v>
      </c>
      <c r="H43" s="210" t="s">
        <v>223</v>
      </c>
      <c r="I43" s="184"/>
      <c r="J43" s="204" t="s">
        <v>907</v>
      </c>
      <c r="K43" s="218" t="s">
        <v>913</v>
      </c>
      <c r="L43" s="205" t="s">
        <v>794</v>
      </c>
      <c r="M43" s="206" t="s">
        <v>880</v>
      </c>
      <c r="N43" s="206" t="s">
        <v>767</v>
      </c>
      <c r="O43" s="209" t="s">
        <v>914</v>
      </c>
      <c r="P43" s="209"/>
      <c r="Q43" s="210"/>
    </row>
    <row r="44" spans="1:17" ht="57">
      <c r="A44" s="193" t="s">
        <v>915</v>
      </c>
      <c r="B44" s="204" t="s">
        <v>868</v>
      </c>
      <c r="C44" s="205" t="s">
        <v>775</v>
      </c>
      <c r="D44" s="206" t="s">
        <v>776</v>
      </c>
      <c r="E44" s="206" t="s">
        <v>767</v>
      </c>
      <c r="F44" s="206" t="s">
        <v>788</v>
      </c>
      <c r="G44" s="205" t="s">
        <v>906</v>
      </c>
      <c r="H44" s="210" t="s">
        <v>224</v>
      </c>
      <c r="I44" s="184"/>
      <c r="J44" s="204" t="s">
        <v>907</v>
      </c>
      <c r="K44" s="218" t="s">
        <v>916</v>
      </c>
      <c r="L44" s="205" t="s">
        <v>794</v>
      </c>
      <c r="M44" s="206" t="s">
        <v>917</v>
      </c>
      <c r="N44" s="206" t="s">
        <v>767</v>
      </c>
      <c r="O44" s="209" t="s">
        <v>914</v>
      </c>
      <c r="P44" s="209"/>
      <c r="Q44" s="210"/>
    </row>
    <row r="45" spans="1:17">
      <c r="A45" s="203" t="s">
        <v>918</v>
      </c>
      <c r="B45" s="204" t="s">
        <v>868</v>
      </c>
      <c r="C45" s="205" t="s">
        <v>775</v>
      </c>
      <c r="D45" s="206" t="s">
        <v>781</v>
      </c>
      <c r="E45" s="206" t="s">
        <v>767</v>
      </c>
      <c r="F45" s="206" t="s">
        <v>788</v>
      </c>
      <c r="G45" s="205" t="s">
        <v>906</v>
      </c>
      <c r="H45" s="210" t="s">
        <v>20</v>
      </c>
      <c r="I45" s="184"/>
      <c r="J45" s="204" t="s">
        <v>907</v>
      </c>
      <c r="K45" s="218" t="s">
        <v>899</v>
      </c>
      <c r="L45" s="205" t="s">
        <v>794</v>
      </c>
      <c r="M45" s="206" t="s">
        <v>886</v>
      </c>
      <c r="N45" s="206" t="s">
        <v>767</v>
      </c>
      <c r="O45" s="209"/>
      <c r="P45" s="209"/>
      <c r="Q45" s="210"/>
    </row>
    <row r="46" spans="1:17" ht="28.5">
      <c r="A46" s="203" t="s">
        <v>919</v>
      </c>
      <c r="B46" s="204" t="s">
        <v>868</v>
      </c>
      <c r="C46" s="205" t="s">
        <v>775</v>
      </c>
      <c r="D46" s="206" t="s">
        <v>787</v>
      </c>
      <c r="E46" s="206" t="s">
        <v>767</v>
      </c>
      <c r="F46" s="206" t="s">
        <v>788</v>
      </c>
      <c r="G46" s="205" t="s">
        <v>906</v>
      </c>
      <c r="H46" s="210" t="s">
        <v>25</v>
      </c>
      <c r="I46" s="184"/>
      <c r="J46" s="204" t="s">
        <v>907</v>
      </c>
      <c r="K46" s="218" t="s">
        <v>903</v>
      </c>
      <c r="L46" s="205" t="s">
        <v>794</v>
      </c>
      <c r="M46" s="206" t="s">
        <v>891</v>
      </c>
      <c r="N46" s="206" t="s">
        <v>767</v>
      </c>
      <c r="O46" s="209"/>
      <c r="P46" s="209"/>
      <c r="Q46" s="210"/>
    </row>
    <row r="47" spans="1:17">
      <c r="A47" s="193" t="s">
        <v>920</v>
      </c>
      <c r="B47" s="204" t="s">
        <v>868</v>
      </c>
      <c r="C47" s="205" t="s">
        <v>775</v>
      </c>
      <c r="D47" s="206" t="s">
        <v>902</v>
      </c>
      <c r="E47" s="206" t="s">
        <v>767</v>
      </c>
      <c r="F47" s="206" t="s">
        <v>788</v>
      </c>
      <c r="G47" s="205" t="s">
        <v>906</v>
      </c>
      <c r="H47" s="210" t="s">
        <v>5</v>
      </c>
      <c r="I47" s="184"/>
      <c r="J47" s="204" t="s">
        <v>921</v>
      </c>
      <c r="K47" s="218" t="s">
        <v>922</v>
      </c>
      <c r="L47" s="205" t="s">
        <v>869</v>
      </c>
      <c r="M47" s="206" t="s">
        <v>923</v>
      </c>
      <c r="N47" s="206" t="s">
        <v>924</v>
      </c>
      <c r="O47" s="209"/>
      <c r="P47" s="209"/>
      <c r="Q47" s="210"/>
    </row>
    <row r="48" spans="1:17">
      <c r="A48" s="203" t="s">
        <v>925</v>
      </c>
      <c r="B48" s="204"/>
      <c r="C48" s="218"/>
      <c r="D48" s="206"/>
      <c r="E48" s="206"/>
      <c r="F48" s="206"/>
      <c r="G48" s="205"/>
      <c r="H48" s="210"/>
      <c r="I48" s="184"/>
      <c r="J48" s="204" t="s">
        <v>926</v>
      </c>
      <c r="K48" s="218" t="s">
        <v>927</v>
      </c>
      <c r="L48" s="205" t="s">
        <v>775</v>
      </c>
      <c r="M48" s="206" t="s">
        <v>928</v>
      </c>
      <c r="N48" s="206" t="s">
        <v>767</v>
      </c>
      <c r="O48" s="209" t="s">
        <v>929</v>
      </c>
      <c r="P48" s="209"/>
      <c r="Q48" s="210"/>
    </row>
    <row r="49" spans="1:17">
      <c r="A49" s="203" t="s">
        <v>930</v>
      </c>
      <c r="B49" s="204"/>
      <c r="C49" s="218"/>
      <c r="D49" s="206"/>
      <c r="E49" s="206"/>
      <c r="F49" s="206"/>
      <c r="G49" s="205"/>
      <c r="H49" s="210"/>
      <c r="I49" s="184"/>
      <c r="J49" s="204" t="s">
        <v>931</v>
      </c>
      <c r="K49" s="218" t="s">
        <v>726</v>
      </c>
      <c r="L49" s="205" t="s">
        <v>775</v>
      </c>
      <c r="M49" s="206" t="s">
        <v>905</v>
      </c>
      <c r="N49" s="206" t="s">
        <v>767</v>
      </c>
      <c r="O49" s="214" t="s">
        <v>932</v>
      </c>
      <c r="P49" s="219"/>
      <c r="Q49" s="220"/>
    </row>
    <row r="50" spans="1:17" ht="28.5">
      <c r="A50" s="193" t="s">
        <v>933</v>
      </c>
      <c r="B50" s="204"/>
      <c r="C50" s="218"/>
      <c r="D50" s="206"/>
      <c r="E50" s="206"/>
      <c r="F50" s="206" t="s">
        <v>878</v>
      </c>
      <c r="G50" s="205"/>
      <c r="H50" s="210"/>
      <c r="I50" s="184"/>
      <c r="J50" s="204" t="s">
        <v>934</v>
      </c>
      <c r="K50" s="218" t="s">
        <v>28</v>
      </c>
      <c r="L50" s="205" t="s">
        <v>794</v>
      </c>
      <c r="M50" s="206" t="s">
        <v>911</v>
      </c>
      <c r="N50" s="206" t="s">
        <v>767</v>
      </c>
      <c r="O50" s="209" t="s">
        <v>881</v>
      </c>
      <c r="P50" s="209"/>
      <c r="Q50" s="207"/>
    </row>
    <row r="51" spans="1:17">
      <c r="A51" s="203" t="s">
        <v>935</v>
      </c>
      <c r="B51" s="204"/>
      <c r="C51" s="218"/>
      <c r="D51" s="206"/>
      <c r="E51" s="206"/>
      <c r="F51" s="206"/>
      <c r="G51" s="205"/>
      <c r="H51" s="210"/>
      <c r="I51" s="184"/>
      <c r="J51" s="204" t="s">
        <v>931</v>
      </c>
      <c r="K51" s="218" t="s">
        <v>936</v>
      </c>
      <c r="L51" s="205" t="s">
        <v>775</v>
      </c>
      <c r="M51" s="206" t="s">
        <v>888</v>
      </c>
      <c r="N51" s="206" t="s">
        <v>767</v>
      </c>
      <c r="O51" s="209"/>
      <c r="P51" s="209"/>
      <c r="Q51" s="207"/>
    </row>
    <row r="52" spans="1:17" ht="85.5">
      <c r="A52" s="203" t="s">
        <v>937</v>
      </c>
      <c r="B52" s="204" t="s">
        <v>868</v>
      </c>
      <c r="C52" s="205" t="s">
        <v>775</v>
      </c>
      <c r="D52" s="206" t="s">
        <v>875</v>
      </c>
      <c r="E52" s="206" t="s">
        <v>767</v>
      </c>
      <c r="F52" s="206" t="s">
        <v>788</v>
      </c>
      <c r="G52" s="205" t="s">
        <v>906</v>
      </c>
      <c r="H52" s="210" t="s">
        <v>182</v>
      </c>
      <c r="I52" s="184"/>
      <c r="J52" s="204" t="s">
        <v>934</v>
      </c>
      <c r="K52" s="218" t="s">
        <v>910</v>
      </c>
      <c r="L52" s="205" t="s">
        <v>794</v>
      </c>
      <c r="M52" s="206" t="s">
        <v>917</v>
      </c>
      <c r="N52" s="206" t="s">
        <v>767</v>
      </c>
      <c r="O52" s="209"/>
      <c r="P52" s="209"/>
      <c r="Q52" s="210"/>
    </row>
    <row r="53" spans="1:17" ht="42.75">
      <c r="A53" s="193" t="s">
        <v>938</v>
      </c>
      <c r="B53" s="204" t="s">
        <v>868</v>
      </c>
      <c r="C53" s="205" t="s">
        <v>775</v>
      </c>
      <c r="D53" s="206" t="s">
        <v>888</v>
      </c>
      <c r="E53" s="206" t="s">
        <v>767</v>
      </c>
      <c r="F53" s="206" t="s">
        <v>788</v>
      </c>
      <c r="G53" s="205" t="s">
        <v>906</v>
      </c>
      <c r="H53" s="210" t="s">
        <v>223</v>
      </c>
      <c r="I53" s="184"/>
      <c r="J53" s="204" t="s">
        <v>934</v>
      </c>
      <c r="K53" s="218" t="s">
        <v>939</v>
      </c>
      <c r="L53" s="205" t="s">
        <v>794</v>
      </c>
      <c r="M53" s="206" t="s">
        <v>886</v>
      </c>
      <c r="N53" s="206" t="s">
        <v>767</v>
      </c>
      <c r="O53" s="209"/>
      <c r="P53" s="209"/>
      <c r="Q53" s="210"/>
    </row>
    <row r="54" spans="1:17" ht="42.75">
      <c r="A54" s="203" t="s">
        <v>940</v>
      </c>
      <c r="B54" s="204" t="s">
        <v>868</v>
      </c>
      <c r="C54" s="205" t="s">
        <v>775</v>
      </c>
      <c r="D54" s="206" t="s">
        <v>776</v>
      </c>
      <c r="E54" s="206" t="s">
        <v>767</v>
      </c>
      <c r="F54" s="206" t="s">
        <v>788</v>
      </c>
      <c r="G54" s="205" t="s">
        <v>906</v>
      </c>
      <c r="H54" s="210" t="s">
        <v>224</v>
      </c>
      <c r="I54" s="184"/>
      <c r="J54" s="204" t="s">
        <v>934</v>
      </c>
      <c r="K54" s="218" t="s">
        <v>941</v>
      </c>
      <c r="L54" s="205" t="s">
        <v>794</v>
      </c>
      <c r="M54" s="206" t="s">
        <v>891</v>
      </c>
      <c r="N54" s="206" t="s">
        <v>767</v>
      </c>
      <c r="O54" s="209"/>
      <c r="P54" s="209"/>
      <c r="Q54" s="210"/>
    </row>
    <row r="55" spans="1:17">
      <c r="A55" s="193" t="s">
        <v>942</v>
      </c>
      <c r="B55" s="204" t="s">
        <v>868</v>
      </c>
      <c r="C55" s="205" t="s">
        <v>775</v>
      </c>
      <c r="D55" s="206" t="s">
        <v>781</v>
      </c>
      <c r="E55" s="206" t="s">
        <v>767</v>
      </c>
      <c r="F55" s="206" t="s">
        <v>788</v>
      </c>
      <c r="G55" s="205" t="s">
        <v>906</v>
      </c>
      <c r="H55" s="210" t="s">
        <v>20</v>
      </c>
      <c r="I55" s="184"/>
      <c r="J55" s="204" t="s">
        <v>934</v>
      </c>
      <c r="K55" s="218" t="s">
        <v>899</v>
      </c>
      <c r="L55" s="205" t="s">
        <v>794</v>
      </c>
      <c r="M55" s="206" t="s">
        <v>894</v>
      </c>
      <c r="N55" s="206" t="s">
        <v>767</v>
      </c>
      <c r="O55" s="209"/>
      <c r="P55" s="209"/>
      <c r="Q55" s="210"/>
    </row>
    <row r="56" spans="1:17" ht="28.5">
      <c r="A56" s="203" t="s">
        <v>943</v>
      </c>
      <c r="B56" s="204" t="s">
        <v>868</v>
      </c>
      <c r="C56" s="205" t="s">
        <v>775</v>
      </c>
      <c r="D56" s="206" t="s">
        <v>787</v>
      </c>
      <c r="E56" s="206" t="s">
        <v>767</v>
      </c>
      <c r="F56" s="206" t="s">
        <v>788</v>
      </c>
      <c r="G56" s="205" t="s">
        <v>906</v>
      </c>
      <c r="H56" s="210" t="s">
        <v>25</v>
      </c>
      <c r="I56" s="184"/>
      <c r="J56" s="204" t="s">
        <v>934</v>
      </c>
      <c r="K56" s="218" t="s">
        <v>903</v>
      </c>
      <c r="L56" s="205" t="s">
        <v>794</v>
      </c>
      <c r="M56" s="206" t="s">
        <v>799</v>
      </c>
      <c r="N56" s="206" t="s">
        <v>767</v>
      </c>
      <c r="O56" s="209"/>
      <c r="P56" s="209"/>
      <c r="Q56" s="210"/>
    </row>
    <row r="57" spans="1:17" ht="28.5">
      <c r="A57" s="203" t="s">
        <v>944</v>
      </c>
      <c r="B57" s="204"/>
      <c r="C57" s="218"/>
      <c r="D57" s="206"/>
      <c r="E57" s="206"/>
      <c r="F57" s="206"/>
      <c r="G57" s="205"/>
      <c r="H57" s="210"/>
      <c r="I57" s="184"/>
      <c r="J57" s="204" t="s">
        <v>931</v>
      </c>
      <c r="K57" s="218" t="s">
        <v>945</v>
      </c>
      <c r="L57" s="205" t="s">
        <v>775</v>
      </c>
      <c r="M57" s="206" t="s">
        <v>861</v>
      </c>
      <c r="N57" s="206" t="s">
        <v>767</v>
      </c>
      <c r="O57" s="209"/>
      <c r="P57" s="209"/>
      <c r="Q57" s="210"/>
    </row>
    <row r="58" spans="1:17" ht="71.25">
      <c r="A58" s="193" t="s">
        <v>946</v>
      </c>
      <c r="B58" s="204" t="s">
        <v>868</v>
      </c>
      <c r="C58" s="205" t="s">
        <v>775</v>
      </c>
      <c r="D58" s="206" t="s">
        <v>905</v>
      </c>
      <c r="E58" s="206" t="s">
        <v>767</v>
      </c>
      <c r="F58" s="206" t="s">
        <v>788</v>
      </c>
      <c r="G58" s="205" t="s">
        <v>947</v>
      </c>
      <c r="H58" s="210" t="s">
        <v>948</v>
      </c>
      <c r="I58" s="184"/>
      <c r="J58" s="204" t="s">
        <v>907</v>
      </c>
      <c r="K58" s="218" t="s">
        <v>948</v>
      </c>
      <c r="L58" s="205" t="s">
        <v>794</v>
      </c>
      <c r="M58" s="206" t="s">
        <v>911</v>
      </c>
      <c r="N58" s="206" t="s">
        <v>767</v>
      </c>
      <c r="O58" s="209"/>
      <c r="P58" s="209"/>
      <c r="Q58" s="210"/>
    </row>
    <row r="59" spans="1:17">
      <c r="A59" s="203" t="s">
        <v>949</v>
      </c>
      <c r="B59" s="204"/>
      <c r="C59" s="218"/>
      <c r="D59" s="206"/>
      <c r="E59" s="206"/>
      <c r="F59" s="206"/>
      <c r="G59" s="205"/>
      <c r="H59" s="210"/>
      <c r="I59" s="184"/>
      <c r="J59" s="204" t="s">
        <v>926</v>
      </c>
      <c r="K59" s="218" t="s">
        <v>927</v>
      </c>
      <c r="L59" s="205" t="s">
        <v>775</v>
      </c>
      <c r="M59" s="206" t="s">
        <v>888</v>
      </c>
      <c r="N59" s="206" t="s">
        <v>767</v>
      </c>
      <c r="O59" s="209" t="s">
        <v>929</v>
      </c>
      <c r="P59" s="209"/>
      <c r="Q59" s="210"/>
    </row>
    <row r="60" spans="1:17">
      <c r="A60" s="193" t="s">
        <v>950</v>
      </c>
      <c r="B60" s="204"/>
      <c r="C60" s="218"/>
      <c r="D60" s="206"/>
      <c r="E60" s="206"/>
      <c r="F60" s="206"/>
      <c r="G60" s="205"/>
      <c r="H60" s="210"/>
      <c r="I60" s="184"/>
      <c r="J60" s="204"/>
      <c r="K60" s="218"/>
      <c r="L60" s="205"/>
      <c r="M60" s="206"/>
      <c r="N60" s="206"/>
      <c r="O60" s="209"/>
      <c r="P60" s="209"/>
      <c r="Q60" s="210"/>
    </row>
    <row r="61" spans="1:17" ht="71.25">
      <c r="A61" s="203" t="s">
        <v>951</v>
      </c>
      <c r="B61" s="204" t="s">
        <v>868</v>
      </c>
      <c r="C61" s="205" t="s">
        <v>775</v>
      </c>
      <c r="D61" s="206" t="s">
        <v>905</v>
      </c>
      <c r="E61" s="206" t="s">
        <v>767</v>
      </c>
      <c r="F61" s="206" t="s">
        <v>788</v>
      </c>
      <c r="G61" s="205" t="s">
        <v>947</v>
      </c>
      <c r="H61" s="210" t="s">
        <v>948</v>
      </c>
      <c r="I61" s="184"/>
      <c r="J61" s="204" t="s">
        <v>934</v>
      </c>
      <c r="K61" s="218" t="s">
        <v>948</v>
      </c>
      <c r="L61" s="205" t="s">
        <v>794</v>
      </c>
      <c r="M61" s="206" t="s">
        <v>810</v>
      </c>
      <c r="N61" s="206" t="s">
        <v>767</v>
      </c>
      <c r="O61" s="209"/>
      <c r="P61" s="209"/>
      <c r="Q61" s="210"/>
    </row>
    <row r="62" spans="1:17">
      <c r="A62" s="203" t="s">
        <v>952</v>
      </c>
      <c r="B62" s="204"/>
      <c r="C62" s="205"/>
      <c r="D62" s="206"/>
      <c r="E62" s="206"/>
      <c r="F62" s="206" t="s">
        <v>788</v>
      </c>
      <c r="G62" s="205"/>
      <c r="H62" s="207"/>
      <c r="I62" s="184"/>
      <c r="J62" s="204" t="s">
        <v>953</v>
      </c>
      <c r="K62" s="218" t="s">
        <v>908</v>
      </c>
      <c r="L62" s="205" t="s">
        <v>794</v>
      </c>
      <c r="M62" s="206" t="s">
        <v>872</v>
      </c>
      <c r="N62" s="206" t="s">
        <v>767</v>
      </c>
      <c r="O62" s="221" t="s">
        <v>932</v>
      </c>
      <c r="P62" s="221"/>
      <c r="Q62" s="210"/>
    </row>
    <row r="63" spans="1:17">
      <c r="A63" s="193" t="s">
        <v>954</v>
      </c>
      <c r="B63" s="204"/>
      <c r="C63" s="218"/>
      <c r="D63" s="206"/>
      <c r="E63" s="206"/>
      <c r="F63" s="206"/>
      <c r="G63" s="205"/>
      <c r="H63" s="210"/>
      <c r="I63" s="184"/>
      <c r="J63" s="204" t="s">
        <v>955</v>
      </c>
      <c r="K63" s="218" t="s">
        <v>956</v>
      </c>
      <c r="L63" s="205" t="s">
        <v>775</v>
      </c>
      <c r="M63" s="206" t="s">
        <v>875</v>
      </c>
      <c r="N63" s="206" t="s">
        <v>767</v>
      </c>
      <c r="O63" s="221" t="s">
        <v>957</v>
      </c>
      <c r="P63" s="221"/>
      <c r="Q63" s="210"/>
    </row>
    <row r="64" spans="1:17" ht="28.5">
      <c r="A64" s="203" t="s">
        <v>958</v>
      </c>
      <c r="B64" s="204"/>
      <c r="C64" s="205"/>
      <c r="D64" s="206"/>
      <c r="E64" s="206"/>
      <c r="F64" s="206" t="s">
        <v>878</v>
      </c>
      <c r="G64" s="205"/>
      <c r="H64" s="207"/>
      <c r="I64" s="184"/>
      <c r="J64" s="204" t="s">
        <v>953</v>
      </c>
      <c r="K64" s="205" t="s">
        <v>28</v>
      </c>
      <c r="L64" s="205" t="s">
        <v>794</v>
      </c>
      <c r="M64" s="206" t="s">
        <v>880</v>
      </c>
      <c r="N64" s="206" t="s">
        <v>767</v>
      </c>
      <c r="O64" s="221" t="s">
        <v>881</v>
      </c>
      <c r="P64" s="221"/>
      <c r="Q64" s="207"/>
    </row>
    <row r="65" spans="1:17">
      <c r="A65" s="203" t="s">
        <v>959</v>
      </c>
      <c r="B65" s="204"/>
      <c r="C65" s="205"/>
      <c r="D65" s="206"/>
      <c r="E65" s="206"/>
      <c r="F65" s="206"/>
      <c r="G65" s="205"/>
      <c r="H65" s="207"/>
      <c r="I65" s="184"/>
      <c r="J65" s="204" t="s">
        <v>955</v>
      </c>
      <c r="K65" s="205" t="s">
        <v>960</v>
      </c>
      <c r="L65" s="205" t="s">
        <v>775</v>
      </c>
      <c r="M65" s="206" t="s">
        <v>776</v>
      </c>
      <c r="N65" s="206" t="s">
        <v>767</v>
      </c>
      <c r="O65" s="221"/>
      <c r="P65" s="221"/>
      <c r="Q65" s="207"/>
    </row>
    <row r="66" spans="1:17">
      <c r="A66" s="193" t="s">
        <v>961</v>
      </c>
      <c r="B66" s="204" t="s">
        <v>962</v>
      </c>
      <c r="C66" s="205" t="s">
        <v>829</v>
      </c>
      <c r="D66" s="206" t="s">
        <v>875</v>
      </c>
      <c r="E66" s="206" t="s">
        <v>767</v>
      </c>
      <c r="F66" s="206" t="s">
        <v>788</v>
      </c>
      <c r="G66" s="205" t="s">
        <v>963</v>
      </c>
      <c r="H66" s="207" t="s">
        <v>964</v>
      </c>
      <c r="I66" s="184"/>
      <c r="J66" s="204" t="s">
        <v>965</v>
      </c>
      <c r="K66" s="218" t="s">
        <v>966</v>
      </c>
      <c r="L66" s="205" t="s">
        <v>794</v>
      </c>
      <c r="M66" s="206" t="s">
        <v>886</v>
      </c>
      <c r="N66" s="206" t="s">
        <v>767</v>
      </c>
      <c r="O66" s="222"/>
      <c r="P66" s="222"/>
      <c r="Q66" s="207"/>
    </row>
    <row r="67" spans="1:17">
      <c r="A67" s="203" t="s">
        <v>967</v>
      </c>
      <c r="B67" s="204"/>
      <c r="C67" s="205"/>
      <c r="D67" s="206"/>
      <c r="E67" s="206"/>
      <c r="F67" s="206"/>
      <c r="G67" s="205"/>
      <c r="H67" s="207"/>
      <c r="I67" s="184"/>
      <c r="J67" s="204" t="s">
        <v>955</v>
      </c>
      <c r="K67" s="205" t="s">
        <v>968</v>
      </c>
      <c r="L67" s="205" t="s">
        <v>775</v>
      </c>
      <c r="M67" s="206" t="s">
        <v>787</v>
      </c>
      <c r="N67" s="206" t="s">
        <v>767</v>
      </c>
      <c r="O67" s="222" t="s">
        <v>969</v>
      </c>
      <c r="P67" s="222"/>
      <c r="Q67" s="207"/>
    </row>
    <row r="68" spans="1:17">
      <c r="A68" s="203" t="s">
        <v>970</v>
      </c>
      <c r="B68" s="204"/>
      <c r="C68" s="218"/>
      <c r="D68" s="206"/>
      <c r="E68" s="206"/>
      <c r="F68" s="206" t="s">
        <v>788</v>
      </c>
      <c r="G68" s="205"/>
      <c r="H68" s="210"/>
      <c r="I68" s="184"/>
      <c r="J68" s="204" t="s">
        <v>971</v>
      </c>
      <c r="K68" s="205" t="s">
        <v>908</v>
      </c>
      <c r="L68" s="205" t="s">
        <v>794</v>
      </c>
      <c r="M68" s="206" t="s">
        <v>872</v>
      </c>
      <c r="N68" s="206" t="s">
        <v>767</v>
      </c>
      <c r="O68" s="221" t="s">
        <v>932</v>
      </c>
      <c r="P68" s="221"/>
      <c r="Q68" s="207"/>
    </row>
    <row r="69" spans="1:17" ht="28.5">
      <c r="A69" s="193" t="s">
        <v>972</v>
      </c>
      <c r="B69" s="204"/>
      <c r="C69" s="205"/>
      <c r="D69" s="206"/>
      <c r="E69" s="206"/>
      <c r="F69" s="206" t="s">
        <v>878</v>
      </c>
      <c r="G69" s="205"/>
      <c r="H69" s="207"/>
      <c r="I69" s="184"/>
      <c r="J69" s="204" t="s">
        <v>971</v>
      </c>
      <c r="K69" s="205" t="s">
        <v>28</v>
      </c>
      <c r="L69" s="205" t="s">
        <v>794</v>
      </c>
      <c r="M69" s="206" t="s">
        <v>911</v>
      </c>
      <c r="N69" s="206" t="s">
        <v>767</v>
      </c>
      <c r="O69" s="221" t="s">
        <v>881</v>
      </c>
      <c r="P69" s="221"/>
      <c r="Q69" s="207"/>
    </row>
    <row r="70" spans="1:17">
      <c r="A70" s="203" t="s">
        <v>973</v>
      </c>
      <c r="B70" s="204"/>
      <c r="C70" s="205"/>
      <c r="D70" s="206"/>
      <c r="E70" s="206"/>
      <c r="F70" s="206"/>
      <c r="G70" s="205"/>
      <c r="H70" s="207"/>
      <c r="I70" s="184"/>
      <c r="J70" s="204" t="s">
        <v>974</v>
      </c>
      <c r="K70" s="205" t="s">
        <v>960</v>
      </c>
      <c r="L70" s="205" t="s">
        <v>775</v>
      </c>
      <c r="M70" s="206" t="s">
        <v>888</v>
      </c>
      <c r="N70" s="206" t="s">
        <v>767</v>
      </c>
      <c r="O70" s="208" t="s">
        <v>975</v>
      </c>
      <c r="P70" s="208"/>
      <c r="Q70" s="207"/>
    </row>
    <row r="71" spans="1:17" ht="28.5">
      <c r="A71" s="203" t="s">
        <v>976</v>
      </c>
      <c r="B71" s="204" t="s">
        <v>962</v>
      </c>
      <c r="C71" s="218" t="s">
        <v>829</v>
      </c>
      <c r="D71" s="206" t="s">
        <v>781</v>
      </c>
      <c r="E71" s="206" t="s">
        <v>767</v>
      </c>
      <c r="F71" s="206" t="s">
        <v>788</v>
      </c>
      <c r="G71" s="205" t="s">
        <v>977</v>
      </c>
      <c r="H71" s="210" t="s">
        <v>978</v>
      </c>
      <c r="I71" s="184"/>
      <c r="J71" s="204" t="s">
        <v>971</v>
      </c>
      <c r="K71" s="205" t="s">
        <v>979</v>
      </c>
      <c r="L71" s="205" t="s">
        <v>794</v>
      </c>
      <c r="M71" s="206" t="s">
        <v>917</v>
      </c>
      <c r="N71" s="206" t="s">
        <v>767</v>
      </c>
      <c r="O71" s="208"/>
      <c r="P71" s="208"/>
      <c r="Q71" s="207"/>
    </row>
    <row r="72" spans="1:17">
      <c r="A72" s="203" t="s">
        <v>980</v>
      </c>
      <c r="B72" s="223"/>
      <c r="C72" s="224"/>
      <c r="D72" s="225"/>
      <c r="E72" s="225"/>
      <c r="F72" s="225"/>
      <c r="G72" s="226"/>
      <c r="H72" s="227"/>
      <c r="I72" s="184"/>
      <c r="J72" s="223" t="s">
        <v>981</v>
      </c>
      <c r="K72" s="226" t="s">
        <v>968</v>
      </c>
      <c r="L72" s="226" t="s">
        <v>982</v>
      </c>
      <c r="M72" s="225" t="s">
        <v>983</v>
      </c>
      <c r="N72" s="225" t="s">
        <v>767</v>
      </c>
      <c r="O72" s="228" t="s">
        <v>969</v>
      </c>
      <c r="P72" s="228"/>
      <c r="Q72" s="229"/>
    </row>
    <row r="73" spans="1:17" ht="28.5">
      <c r="A73" s="203" t="s">
        <v>984</v>
      </c>
      <c r="B73" s="204" t="s">
        <v>868</v>
      </c>
      <c r="C73" s="205" t="s">
        <v>775</v>
      </c>
      <c r="D73" s="206" t="s">
        <v>905</v>
      </c>
      <c r="E73" s="206" t="s">
        <v>767</v>
      </c>
      <c r="F73" s="206" t="s">
        <v>788</v>
      </c>
      <c r="G73" s="218" t="s">
        <v>985</v>
      </c>
      <c r="H73" s="210" t="s">
        <v>986</v>
      </c>
      <c r="I73" s="184"/>
      <c r="J73" s="204" t="s">
        <v>907</v>
      </c>
      <c r="K73" s="218" t="s">
        <v>986</v>
      </c>
      <c r="L73" s="226" t="s">
        <v>982</v>
      </c>
      <c r="M73" s="225" t="s">
        <v>872</v>
      </c>
      <c r="N73" s="225" t="s">
        <v>767</v>
      </c>
      <c r="O73" s="228"/>
      <c r="P73" s="228"/>
      <c r="Q73" s="229" t="s">
        <v>987</v>
      </c>
    </row>
    <row r="74" spans="1:17" ht="28.5">
      <c r="A74" s="203" t="s">
        <v>988</v>
      </c>
      <c r="B74" s="204" t="s">
        <v>868</v>
      </c>
      <c r="C74" s="205" t="s">
        <v>775</v>
      </c>
      <c r="D74" s="206" t="s">
        <v>875</v>
      </c>
      <c r="E74" s="206" t="s">
        <v>767</v>
      </c>
      <c r="F74" s="206" t="s">
        <v>788</v>
      </c>
      <c r="G74" s="218" t="s">
        <v>985</v>
      </c>
      <c r="H74" s="210" t="s">
        <v>989</v>
      </c>
      <c r="I74" s="184"/>
      <c r="J74" s="204" t="s">
        <v>907</v>
      </c>
      <c r="K74" s="218" t="s">
        <v>989</v>
      </c>
      <c r="L74" s="226" t="s">
        <v>982</v>
      </c>
      <c r="M74" s="225" t="s">
        <v>911</v>
      </c>
      <c r="N74" s="225" t="s">
        <v>767</v>
      </c>
      <c r="O74" s="228"/>
      <c r="P74" s="228"/>
      <c r="Q74" s="229" t="s">
        <v>987</v>
      </c>
    </row>
    <row r="75" spans="1:17">
      <c r="A75" s="203" t="s">
        <v>990</v>
      </c>
      <c r="B75" s="223"/>
      <c r="C75" s="224"/>
      <c r="D75" s="225"/>
      <c r="E75" s="225"/>
      <c r="F75" s="206" t="s">
        <v>788</v>
      </c>
      <c r="G75" s="226"/>
      <c r="H75" s="227"/>
      <c r="I75" s="184"/>
      <c r="J75" s="204" t="s">
        <v>907</v>
      </c>
      <c r="K75" s="218" t="s">
        <v>927</v>
      </c>
      <c r="L75" s="205" t="s">
        <v>794</v>
      </c>
      <c r="M75" s="206" t="s">
        <v>880</v>
      </c>
      <c r="N75" s="206" t="s">
        <v>767</v>
      </c>
      <c r="O75" s="209" t="s">
        <v>929</v>
      </c>
      <c r="P75" s="230"/>
      <c r="Q75" s="229" t="s">
        <v>987</v>
      </c>
    </row>
    <row r="76" spans="1:17">
      <c r="A76" s="203" t="s">
        <v>991</v>
      </c>
      <c r="B76" s="223" t="s">
        <v>992</v>
      </c>
      <c r="C76" s="205" t="s">
        <v>775</v>
      </c>
      <c r="D76" s="206" t="s">
        <v>905</v>
      </c>
      <c r="E76" s="206" t="s">
        <v>767</v>
      </c>
      <c r="F76" s="206" t="s">
        <v>788</v>
      </c>
      <c r="G76" s="226" t="s">
        <v>993</v>
      </c>
      <c r="H76" s="227" t="s">
        <v>994</v>
      </c>
      <c r="I76" s="184"/>
      <c r="J76" s="204" t="s">
        <v>907</v>
      </c>
      <c r="K76" s="226" t="s">
        <v>994</v>
      </c>
      <c r="L76" s="205" t="s">
        <v>794</v>
      </c>
      <c r="M76" s="206" t="s">
        <v>872</v>
      </c>
      <c r="N76" s="206" t="s">
        <v>767</v>
      </c>
      <c r="O76" s="228"/>
      <c r="P76" s="228"/>
      <c r="Q76" s="229" t="s">
        <v>995</v>
      </c>
    </row>
    <row r="77" spans="1:17">
      <c r="A77" s="203" t="s">
        <v>996</v>
      </c>
      <c r="B77" s="204" t="s">
        <v>868</v>
      </c>
      <c r="C77" s="205" t="s">
        <v>775</v>
      </c>
      <c r="D77" s="206" t="s">
        <v>905</v>
      </c>
      <c r="E77" s="206" t="s">
        <v>767</v>
      </c>
      <c r="F77" s="206" t="s">
        <v>788</v>
      </c>
      <c r="G77" s="218" t="s">
        <v>997</v>
      </c>
      <c r="H77" s="210" t="s">
        <v>998</v>
      </c>
      <c r="I77" s="184"/>
      <c r="J77" s="204" t="s">
        <v>999</v>
      </c>
      <c r="K77" s="218" t="s">
        <v>998</v>
      </c>
      <c r="L77" s="205" t="s">
        <v>1000</v>
      </c>
      <c r="M77" s="225" t="s">
        <v>1001</v>
      </c>
      <c r="N77" s="206" t="s">
        <v>767</v>
      </c>
      <c r="O77" s="228"/>
      <c r="P77" s="228"/>
      <c r="Q77" s="229" t="s">
        <v>997</v>
      </c>
    </row>
    <row r="78" spans="1:17">
      <c r="A78" s="203" t="s">
        <v>1002</v>
      </c>
      <c r="B78" s="204" t="s">
        <v>868</v>
      </c>
      <c r="C78" s="205" t="s">
        <v>775</v>
      </c>
      <c r="D78" s="206" t="s">
        <v>875</v>
      </c>
      <c r="E78" s="206" t="s">
        <v>767</v>
      </c>
      <c r="F78" s="206" t="s">
        <v>788</v>
      </c>
      <c r="G78" s="218" t="s">
        <v>997</v>
      </c>
      <c r="H78" s="210" t="s">
        <v>1003</v>
      </c>
      <c r="I78" s="184"/>
      <c r="J78" s="204" t="s">
        <v>907</v>
      </c>
      <c r="K78" s="218" t="s">
        <v>1003</v>
      </c>
      <c r="L78" s="205" t="s">
        <v>794</v>
      </c>
      <c r="M78" s="206" t="s">
        <v>880</v>
      </c>
      <c r="N78" s="206" t="s">
        <v>767</v>
      </c>
      <c r="O78" s="228"/>
      <c r="P78" s="228"/>
      <c r="Q78" s="229" t="s">
        <v>997</v>
      </c>
    </row>
    <row r="79" spans="1:17">
      <c r="A79" s="203" t="s">
        <v>1004</v>
      </c>
      <c r="B79" s="223" t="s">
        <v>992</v>
      </c>
      <c r="C79" s="205" t="s">
        <v>775</v>
      </c>
      <c r="D79" s="206" t="s">
        <v>888</v>
      </c>
      <c r="E79" s="206" t="s">
        <v>767</v>
      </c>
      <c r="F79" s="206" t="s">
        <v>788</v>
      </c>
      <c r="G79" s="218" t="s">
        <v>997</v>
      </c>
      <c r="H79" s="227" t="s">
        <v>1005</v>
      </c>
      <c r="I79" s="184"/>
      <c r="J79" s="204" t="s">
        <v>1006</v>
      </c>
      <c r="K79" s="226" t="s">
        <v>1005</v>
      </c>
      <c r="L79" s="205" t="s">
        <v>1007</v>
      </c>
      <c r="M79" s="225" t="s">
        <v>1008</v>
      </c>
      <c r="N79" s="206" t="s">
        <v>767</v>
      </c>
      <c r="O79" s="228"/>
      <c r="P79" s="228"/>
      <c r="Q79" s="229" t="s">
        <v>997</v>
      </c>
    </row>
    <row r="80" spans="1:17">
      <c r="A80" s="203" t="s">
        <v>1009</v>
      </c>
      <c r="B80" s="223" t="s">
        <v>992</v>
      </c>
      <c r="C80" s="205" t="s">
        <v>775</v>
      </c>
      <c r="D80" s="225" t="s">
        <v>1010</v>
      </c>
      <c r="E80" s="206" t="s">
        <v>767</v>
      </c>
      <c r="F80" s="206" t="s">
        <v>788</v>
      </c>
      <c r="G80" s="218" t="s">
        <v>997</v>
      </c>
      <c r="H80" s="227" t="s">
        <v>1011</v>
      </c>
      <c r="I80" s="184"/>
      <c r="J80" s="204" t="s">
        <v>907</v>
      </c>
      <c r="K80" s="226" t="s">
        <v>1011</v>
      </c>
      <c r="L80" s="205" t="s">
        <v>794</v>
      </c>
      <c r="M80" s="225" t="s">
        <v>983</v>
      </c>
      <c r="N80" s="206" t="s">
        <v>767</v>
      </c>
      <c r="O80" s="228"/>
      <c r="P80" s="228"/>
      <c r="Q80" s="229" t="s">
        <v>997</v>
      </c>
    </row>
    <row r="81" spans="1:17">
      <c r="A81" s="203" t="s">
        <v>1012</v>
      </c>
      <c r="B81" s="223" t="s">
        <v>992</v>
      </c>
      <c r="C81" s="205" t="s">
        <v>775</v>
      </c>
      <c r="D81" s="225" t="s">
        <v>1013</v>
      </c>
      <c r="E81" s="206" t="s">
        <v>767</v>
      </c>
      <c r="F81" s="206" t="s">
        <v>788</v>
      </c>
      <c r="G81" s="218" t="s">
        <v>997</v>
      </c>
      <c r="H81" s="227" t="s">
        <v>1014</v>
      </c>
      <c r="I81" s="184"/>
      <c r="J81" s="204" t="s">
        <v>907</v>
      </c>
      <c r="K81" s="226" t="s">
        <v>1014</v>
      </c>
      <c r="L81" s="205" t="s">
        <v>794</v>
      </c>
      <c r="M81" s="225" t="s">
        <v>1015</v>
      </c>
      <c r="N81" s="206" t="s">
        <v>767</v>
      </c>
      <c r="O81" s="228"/>
      <c r="P81" s="228"/>
      <c r="Q81" s="229" t="s">
        <v>997</v>
      </c>
    </row>
    <row r="82" spans="1:17">
      <c r="A82" s="203" t="s">
        <v>1016</v>
      </c>
      <c r="B82" s="223" t="s">
        <v>992</v>
      </c>
      <c r="C82" s="205" t="s">
        <v>775</v>
      </c>
      <c r="D82" s="225" t="s">
        <v>1017</v>
      </c>
      <c r="E82" s="206" t="s">
        <v>767</v>
      </c>
      <c r="F82" s="206" t="s">
        <v>788</v>
      </c>
      <c r="G82" s="218" t="s">
        <v>997</v>
      </c>
      <c r="H82" s="227" t="s">
        <v>1018</v>
      </c>
      <c r="I82" s="184"/>
      <c r="J82" s="204" t="s">
        <v>907</v>
      </c>
      <c r="K82" s="226" t="s">
        <v>1018</v>
      </c>
      <c r="L82" s="205" t="s">
        <v>794</v>
      </c>
      <c r="M82" s="225" t="s">
        <v>1019</v>
      </c>
      <c r="N82" s="206" t="s">
        <v>767</v>
      </c>
      <c r="O82" s="228"/>
      <c r="P82" s="228"/>
      <c r="Q82" s="229" t="s">
        <v>997</v>
      </c>
    </row>
    <row r="83" spans="1:17">
      <c r="A83" s="203" t="s">
        <v>1020</v>
      </c>
      <c r="B83" s="223" t="s">
        <v>992</v>
      </c>
      <c r="C83" s="205" t="s">
        <v>775</v>
      </c>
      <c r="D83" s="225" t="s">
        <v>1021</v>
      </c>
      <c r="E83" s="206" t="s">
        <v>767</v>
      </c>
      <c r="F83" s="206" t="s">
        <v>788</v>
      </c>
      <c r="G83" s="218" t="s">
        <v>997</v>
      </c>
      <c r="H83" s="227" t="s">
        <v>1022</v>
      </c>
      <c r="I83" s="184"/>
      <c r="J83" s="204" t="s">
        <v>926</v>
      </c>
      <c r="K83" s="226" t="s">
        <v>1022</v>
      </c>
      <c r="L83" s="205" t="s">
        <v>775</v>
      </c>
      <c r="M83" s="225" t="s">
        <v>1023</v>
      </c>
      <c r="N83" s="206" t="s">
        <v>767</v>
      </c>
      <c r="O83" s="228"/>
      <c r="P83" s="228"/>
      <c r="Q83" s="229" t="s">
        <v>997</v>
      </c>
    </row>
    <row r="84" spans="1:17">
      <c r="A84" s="203" t="s">
        <v>1024</v>
      </c>
      <c r="B84" s="223" t="s">
        <v>992</v>
      </c>
      <c r="C84" s="205" t="s">
        <v>775</v>
      </c>
      <c r="D84" s="225" t="s">
        <v>1025</v>
      </c>
      <c r="E84" s="206" t="s">
        <v>767</v>
      </c>
      <c r="F84" s="206" t="s">
        <v>788</v>
      </c>
      <c r="G84" s="218" t="s">
        <v>997</v>
      </c>
      <c r="H84" s="227" t="s">
        <v>1026</v>
      </c>
      <c r="I84" s="184"/>
      <c r="J84" s="204" t="s">
        <v>907</v>
      </c>
      <c r="K84" s="226" t="s">
        <v>1026</v>
      </c>
      <c r="L84" s="205" t="s">
        <v>794</v>
      </c>
      <c r="M84" s="225" t="s">
        <v>1027</v>
      </c>
      <c r="N84" s="206" t="s">
        <v>767</v>
      </c>
      <c r="O84" s="228"/>
      <c r="P84" s="228"/>
      <c r="Q84" s="229" t="s">
        <v>997</v>
      </c>
    </row>
    <row r="85" spans="1:17">
      <c r="A85" s="203" t="s">
        <v>1028</v>
      </c>
      <c r="B85" s="223" t="s">
        <v>992</v>
      </c>
      <c r="C85" s="205" t="s">
        <v>775</v>
      </c>
      <c r="D85" s="225" t="s">
        <v>1029</v>
      </c>
      <c r="E85" s="206" t="s">
        <v>767</v>
      </c>
      <c r="F85" s="206" t="s">
        <v>788</v>
      </c>
      <c r="G85" s="218" t="s">
        <v>997</v>
      </c>
      <c r="H85" s="227" t="s">
        <v>1030</v>
      </c>
      <c r="I85" s="184"/>
      <c r="J85" s="204" t="s">
        <v>907</v>
      </c>
      <c r="K85" s="226" t="s">
        <v>1030</v>
      </c>
      <c r="L85" s="205" t="s">
        <v>794</v>
      </c>
      <c r="M85" s="225" t="s">
        <v>1031</v>
      </c>
      <c r="N85" s="206" t="s">
        <v>767</v>
      </c>
      <c r="O85" s="228"/>
      <c r="P85" s="228"/>
      <c r="Q85" s="229" t="s">
        <v>997</v>
      </c>
    </row>
    <row r="86" spans="1:17">
      <c r="A86" s="203" t="s">
        <v>1032</v>
      </c>
      <c r="B86" s="223"/>
      <c r="C86" s="224"/>
      <c r="D86" s="225"/>
      <c r="E86" s="225"/>
      <c r="F86" s="206" t="s">
        <v>788</v>
      </c>
      <c r="G86" s="226"/>
      <c r="H86" s="227"/>
      <c r="I86" s="184"/>
      <c r="J86" s="204" t="s">
        <v>907</v>
      </c>
      <c r="K86" s="218" t="s">
        <v>927</v>
      </c>
      <c r="L86" s="205" t="s">
        <v>794</v>
      </c>
      <c r="M86" s="206" t="s">
        <v>821</v>
      </c>
      <c r="N86" s="206" t="s">
        <v>767</v>
      </c>
      <c r="O86" s="209" t="s">
        <v>929</v>
      </c>
      <c r="P86" s="230"/>
      <c r="Q86" s="229" t="s">
        <v>997</v>
      </c>
    </row>
    <row r="87" spans="1:17">
      <c r="A87" s="203" t="s">
        <v>1033</v>
      </c>
      <c r="B87" s="223" t="s">
        <v>992</v>
      </c>
      <c r="C87" s="205" t="s">
        <v>775</v>
      </c>
      <c r="D87" s="206" t="s">
        <v>905</v>
      </c>
      <c r="E87" s="206" t="s">
        <v>767</v>
      </c>
      <c r="F87" s="206" t="s">
        <v>788</v>
      </c>
      <c r="G87" s="224" t="s">
        <v>1034</v>
      </c>
      <c r="H87" s="227" t="s">
        <v>489</v>
      </c>
      <c r="I87" s="184"/>
      <c r="J87" s="204" t="s">
        <v>907</v>
      </c>
      <c r="K87" s="226" t="s">
        <v>489</v>
      </c>
      <c r="L87" s="205" t="s">
        <v>794</v>
      </c>
      <c r="M87" s="225" t="s">
        <v>1035</v>
      </c>
      <c r="N87" s="206" t="s">
        <v>767</v>
      </c>
      <c r="O87" s="228"/>
      <c r="P87" s="228"/>
      <c r="Q87" s="229" t="s">
        <v>493</v>
      </c>
    </row>
    <row r="88" spans="1:17" ht="28.5">
      <c r="A88" s="203" t="s">
        <v>1036</v>
      </c>
      <c r="B88" s="223" t="s">
        <v>992</v>
      </c>
      <c r="C88" s="205" t="s">
        <v>775</v>
      </c>
      <c r="D88" s="206" t="s">
        <v>875</v>
      </c>
      <c r="E88" s="206" t="s">
        <v>767</v>
      </c>
      <c r="F88" s="206" t="s">
        <v>788</v>
      </c>
      <c r="G88" s="224" t="s">
        <v>1034</v>
      </c>
      <c r="H88" s="227" t="s">
        <v>490</v>
      </c>
      <c r="I88" s="184"/>
      <c r="J88" s="204" t="s">
        <v>907</v>
      </c>
      <c r="K88" s="226" t="s">
        <v>490</v>
      </c>
      <c r="L88" s="205" t="s">
        <v>794</v>
      </c>
      <c r="M88" s="225" t="s">
        <v>1037</v>
      </c>
      <c r="N88" s="206" t="s">
        <v>767</v>
      </c>
      <c r="O88" s="228"/>
      <c r="P88" s="228"/>
      <c r="Q88" s="229" t="s">
        <v>493</v>
      </c>
    </row>
    <row r="89" spans="1:17" ht="28.5">
      <c r="A89" s="203" t="s">
        <v>1038</v>
      </c>
      <c r="B89" s="223" t="s">
        <v>992</v>
      </c>
      <c r="C89" s="205" t="s">
        <v>775</v>
      </c>
      <c r="D89" s="206" t="s">
        <v>888</v>
      </c>
      <c r="E89" s="206" t="s">
        <v>767</v>
      </c>
      <c r="F89" s="206" t="s">
        <v>788</v>
      </c>
      <c r="G89" s="224" t="s">
        <v>1034</v>
      </c>
      <c r="H89" s="227" t="s">
        <v>1039</v>
      </c>
      <c r="I89" s="184"/>
      <c r="J89" s="204" t="s">
        <v>907</v>
      </c>
      <c r="K89" s="226" t="s">
        <v>1039</v>
      </c>
      <c r="L89" s="205" t="s">
        <v>794</v>
      </c>
      <c r="M89" s="225" t="s">
        <v>1040</v>
      </c>
      <c r="N89" s="206" t="s">
        <v>767</v>
      </c>
      <c r="O89" s="228"/>
      <c r="P89" s="228"/>
      <c r="Q89" s="229" t="s">
        <v>493</v>
      </c>
    </row>
    <row r="90" spans="1:17" ht="28.5">
      <c r="A90" s="203" t="s">
        <v>1041</v>
      </c>
      <c r="B90" s="223" t="s">
        <v>992</v>
      </c>
      <c r="C90" s="205" t="s">
        <v>775</v>
      </c>
      <c r="D90" s="225" t="s">
        <v>1010</v>
      </c>
      <c r="E90" s="206" t="s">
        <v>767</v>
      </c>
      <c r="F90" s="206" t="s">
        <v>788</v>
      </c>
      <c r="G90" s="224" t="s">
        <v>1034</v>
      </c>
      <c r="H90" s="227" t="s">
        <v>1042</v>
      </c>
      <c r="I90" s="184"/>
      <c r="J90" s="204" t="s">
        <v>907</v>
      </c>
      <c r="K90" s="226" t="s">
        <v>1042</v>
      </c>
      <c r="L90" s="205" t="s">
        <v>794</v>
      </c>
      <c r="M90" s="225" t="s">
        <v>1043</v>
      </c>
      <c r="N90" s="206" t="s">
        <v>767</v>
      </c>
      <c r="O90" s="228"/>
      <c r="P90" s="228"/>
      <c r="Q90" s="229" t="s">
        <v>493</v>
      </c>
    </row>
    <row r="91" spans="1:17">
      <c r="A91" s="203" t="s">
        <v>1044</v>
      </c>
      <c r="B91" s="223"/>
      <c r="C91" s="226"/>
      <c r="D91" s="225"/>
      <c r="E91" s="225"/>
      <c r="F91" s="206" t="s">
        <v>788</v>
      </c>
      <c r="G91" s="224"/>
      <c r="H91" s="227"/>
      <c r="I91" s="184"/>
      <c r="J91" s="204" t="s">
        <v>907</v>
      </c>
      <c r="K91" s="218" t="s">
        <v>927</v>
      </c>
      <c r="L91" s="205" t="s">
        <v>794</v>
      </c>
      <c r="M91" s="206" t="s">
        <v>886</v>
      </c>
      <c r="N91" s="206" t="s">
        <v>767</v>
      </c>
      <c r="O91" s="209" t="s">
        <v>929</v>
      </c>
      <c r="P91" s="230"/>
      <c r="Q91" s="229" t="s">
        <v>493</v>
      </c>
    </row>
    <row r="92" spans="1:17">
      <c r="A92" s="203" t="s">
        <v>1045</v>
      </c>
      <c r="B92" s="223" t="s">
        <v>992</v>
      </c>
      <c r="C92" s="205" t="s">
        <v>775</v>
      </c>
      <c r="D92" s="206" t="s">
        <v>905</v>
      </c>
      <c r="E92" s="206" t="s">
        <v>767</v>
      </c>
      <c r="F92" s="206" t="s">
        <v>788</v>
      </c>
      <c r="G92" s="224" t="s">
        <v>1046</v>
      </c>
      <c r="H92" s="227" t="s">
        <v>1047</v>
      </c>
      <c r="I92" s="184"/>
      <c r="J92" s="204" t="s">
        <v>907</v>
      </c>
      <c r="K92" s="226" t="s">
        <v>1047</v>
      </c>
      <c r="L92" s="205" t="s">
        <v>794</v>
      </c>
      <c r="M92" s="225" t="s">
        <v>1037</v>
      </c>
      <c r="N92" s="206" t="s">
        <v>767</v>
      </c>
      <c r="O92" s="228"/>
      <c r="P92" s="228"/>
      <c r="Q92" s="229" t="s">
        <v>1048</v>
      </c>
    </row>
    <row r="93" spans="1:17" ht="29.25" customHeight="1">
      <c r="A93" s="203" t="s">
        <v>1049</v>
      </c>
      <c r="B93" s="223" t="s">
        <v>992</v>
      </c>
      <c r="C93" s="205" t="s">
        <v>775</v>
      </c>
      <c r="D93" s="206" t="s">
        <v>905</v>
      </c>
      <c r="E93" s="206" t="s">
        <v>767</v>
      </c>
      <c r="F93" s="206" t="s">
        <v>788</v>
      </c>
      <c r="G93" s="224" t="s">
        <v>1050</v>
      </c>
      <c r="H93" s="227" t="s">
        <v>473</v>
      </c>
      <c r="I93" s="184"/>
      <c r="J93" s="204" t="s">
        <v>907</v>
      </c>
      <c r="K93" s="226" t="s">
        <v>473</v>
      </c>
      <c r="L93" s="205" t="s">
        <v>794</v>
      </c>
      <c r="M93" s="225" t="s">
        <v>1035</v>
      </c>
      <c r="N93" s="206" t="s">
        <v>767</v>
      </c>
      <c r="O93" s="228"/>
      <c r="P93" s="228"/>
      <c r="Q93" s="229" t="s">
        <v>504</v>
      </c>
    </row>
    <row r="94" spans="1:17">
      <c r="A94" s="203" t="s">
        <v>1051</v>
      </c>
      <c r="B94" s="223" t="s">
        <v>992</v>
      </c>
      <c r="C94" s="205" t="s">
        <v>775</v>
      </c>
      <c r="D94" s="206" t="s">
        <v>875</v>
      </c>
      <c r="E94" s="206" t="s">
        <v>767</v>
      </c>
      <c r="F94" s="206" t="s">
        <v>788</v>
      </c>
      <c r="G94" s="224" t="s">
        <v>1050</v>
      </c>
      <c r="H94" s="227" t="s">
        <v>1052</v>
      </c>
      <c r="I94" s="184"/>
      <c r="J94" s="204" t="s">
        <v>907</v>
      </c>
      <c r="K94" s="226" t="s">
        <v>1052</v>
      </c>
      <c r="L94" s="205" t="s">
        <v>794</v>
      </c>
      <c r="M94" s="225" t="s">
        <v>1037</v>
      </c>
      <c r="N94" s="206" t="s">
        <v>767</v>
      </c>
      <c r="O94" s="228"/>
      <c r="P94" s="228"/>
      <c r="Q94" s="229" t="s">
        <v>504</v>
      </c>
    </row>
    <row r="95" spans="1:17" ht="28.5">
      <c r="A95" s="203" t="s">
        <v>1053</v>
      </c>
      <c r="B95" s="223" t="s">
        <v>992</v>
      </c>
      <c r="C95" s="205" t="s">
        <v>775</v>
      </c>
      <c r="D95" s="225" t="s">
        <v>1054</v>
      </c>
      <c r="E95" s="206" t="s">
        <v>767</v>
      </c>
      <c r="F95" s="206" t="s">
        <v>788</v>
      </c>
      <c r="G95" s="224" t="s">
        <v>1050</v>
      </c>
      <c r="H95" s="227" t="s">
        <v>495</v>
      </c>
      <c r="I95" s="184"/>
      <c r="J95" s="204" t="s">
        <v>907</v>
      </c>
      <c r="K95" s="226" t="s">
        <v>495</v>
      </c>
      <c r="L95" s="205" t="s">
        <v>794</v>
      </c>
      <c r="M95" s="225" t="s">
        <v>1040</v>
      </c>
      <c r="N95" s="206" t="s">
        <v>767</v>
      </c>
      <c r="O95" s="228"/>
      <c r="P95" s="228"/>
      <c r="Q95" s="229" t="s">
        <v>504</v>
      </c>
    </row>
    <row r="96" spans="1:17">
      <c r="A96" s="203" t="s">
        <v>1055</v>
      </c>
      <c r="B96" s="223"/>
      <c r="C96" s="224"/>
      <c r="D96" s="225"/>
      <c r="E96" s="225"/>
      <c r="F96" s="231" t="s">
        <v>777</v>
      </c>
      <c r="G96" s="226"/>
      <c r="H96" s="227"/>
      <c r="I96" s="184"/>
      <c r="J96" s="204" t="s">
        <v>926</v>
      </c>
      <c r="K96" s="226" t="s">
        <v>476</v>
      </c>
      <c r="L96" s="205" t="s">
        <v>775</v>
      </c>
      <c r="M96" s="225" t="s">
        <v>1010</v>
      </c>
      <c r="N96" s="206" t="s">
        <v>767</v>
      </c>
      <c r="O96" s="221"/>
      <c r="P96" s="230"/>
      <c r="Q96" s="229" t="s">
        <v>504</v>
      </c>
    </row>
    <row r="97" spans="1:17">
      <c r="A97" s="203" t="s">
        <v>1056</v>
      </c>
      <c r="B97" s="223"/>
      <c r="C97" s="224"/>
      <c r="D97" s="225"/>
      <c r="E97" s="225"/>
      <c r="F97" s="206" t="s">
        <v>788</v>
      </c>
      <c r="G97" s="226"/>
      <c r="H97" s="227"/>
      <c r="I97" s="184"/>
      <c r="J97" s="204" t="s">
        <v>907</v>
      </c>
      <c r="K97" s="226" t="s">
        <v>8</v>
      </c>
      <c r="L97" s="205" t="s">
        <v>794</v>
      </c>
      <c r="M97" s="206" t="s">
        <v>886</v>
      </c>
      <c r="N97" s="206" t="s">
        <v>767</v>
      </c>
      <c r="O97" s="209" t="s">
        <v>929</v>
      </c>
      <c r="P97" s="230"/>
      <c r="Q97" s="229" t="s">
        <v>504</v>
      </c>
    </row>
    <row r="98" spans="1:17" ht="28.5">
      <c r="A98" s="203" t="s">
        <v>1057</v>
      </c>
      <c r="B98" s="223" t="s">
        <v>992</v>
      </c>
      <c r="C98" s="205" t="s">
        <v>775</v>
      </c>
      <c r="D98" s="206" t="s">
        <v>905</v>
      </c>
      <c r="E98" s="206" t="s">
        <v>767</v>
      </c>
      <c r="F98" s="206" t="s">
        <v>788</v>
      </c>
      <c r="G98" s="226" t="s">
        <v>1058</v>
      </c>
      <c r="H98" s="227" t="s">
        <v>1059</v>
      </c>
      <c r="I98" s="184"/>
      <c r="J98" s="204" t="s">
        <v>907</v>
      </c>
      <c r="K98" s="226" t="s">
        <v>1059</v>
      </c>
      <c r="L98" s="205" t="s">
        <v>794</v>
      </c>
      <c r="M98" s="225" t="s">
        <v>1037</v>
      </c>
      <c r="N98" s="206" t="s">
        <v>767</v>
      </c>
      <c r="O98" s="228"/>
      <c r="P98" s="228"/>
      <c r="Q98" s="229" t="s">
        <v>1058</v>
      </c>
    </row>
    <row r="99" spans="1:17" ht="28.5">
      <c r="A99" s="203" t="s">
        <v>1060</v>
      </c>
      <c r="B99" s="223" t="s">
        <v>992</v>
      </c>
      <c r="C99" s="205" t="s">
        <v>775</v>
      </c>
      <c r="D99" s="206" t="s">
        <v>875</v>
      </c>
      <c r="E99" s="206" t="s">
        <v>767</v>
      </c>
      <c r="F99" s="206" t="s">
        <v>788</v>
      </c>
      <c r="G99" s="226" t="s">
        <v>1058</v>
      </c>
      <c r="H99" s="227" t="s">
        <v>1061</v>
      </c>
      <c r="I99" s="184"/>
      <c r="J99" s="204" t="s">
        <v>907</v>
      </c>
      <c r="K99" s="226" t="s">
        <v>1061</v>
      </c>
      <c r="L99" s="205" t="s">
        <v>794</v>
      </c>
      <c r="M99" s="225" t="s">
        <v>1040</v>
      </c>
      <c r="N99" s="206" t="s">
        <v>767</v>
      </c>
      <c r="O99" s="228"/>
      <c r="P99" s="228"/>
      <c r="Q99" s="229" t="s">
        <v>1058</v>
      </c>
    </row>
    <row r="100" spans="1:17">
      <c r="A100" s="203" t="s">
        <v>1062</v>
      </c>
      <c r="B100" s="223" t="s">
        <v>992</v>
      </c>
      <c r="C100" s="205" t="s">
        <v>775</v>
      </c>
      <c r="D100" s="225" t="s">
        <v>1054</v>
      </c>
      <c r="E100" s="206" t="s">
        <v>767</v>
      </c>
      <c r="F100" s="206" t="s">
        <v>788</v>
      </c>
      <c r="G100" s="226" t="s">
        <v>1058</v>
      </c>
      <c r="H100" s="227" t="s">
        <v>1063</v>
      </c>
      <c r="I100" s="184"/>
      <c r="J100" s="204" t="s">
        <v>907</v>
      </c>
      <c r="K100" s="226" t="s">
        <v>1063</v>
      </c>
      <c r="L100" s="205" t="s">
        <v>794</v>
      </c>
      <c r="M100" s="225" t="s">
        <v>1043</v>
      </c>
      <c r="N100" s="206" t="s">
        <v>767</v>
      </c>
      <c r="O100" s="228"/>
      <c r="P100" s="228"/>
      <c r="Q100" s="229" t="s">
        <v>1058</v>
      </c>
    </row>
    <row r="101" spans="1:17">
      <c r="A101" s="203" t="s">
        <v>1064</v>
      </c>
      <c r="B101" s="223" t="s">
        <v>992</v>
      </c>
      <c r="C101" s="205" t="s">
        <v>775</v>
      </c>
      <c r="D101" s="225" t="s">
        <v>1065</v>
      </c>
      <c r="E101" s="206" t="s">
        <v>767</v>
      </c>
      <c r="F101" s="206" t="s">
        <v>788</v>
      </c>
      <c r="G101" s="226" t="s">
        <v>1058</v>
      </c>
      <c r="H101" s="227" t="s">
        <v>1066</v>
      </c>
      <c r="I101" s="184"/>
      <c r="J101" s="204" t="s">
        <v>907</v>
      </c>
      <c r="K101" s="226" t="s">
        <v>1066</v>
      </c>
      <c r="L101" s="205" t="s">
        <v>794</v>
      </c>
      <c r="M101" s="206" t="s">
        <v>886</v>
      </c>
      <c r="N101" s="206" t="s">
        <v>767</v>
      </c>
      <c r="O101" s="228"/>
      <c r="P101" s="228"/>
      <c r="Q101" s="229" t="s">
        <v>1058</v>
      </c>
    </row>
    <row r="102" spans="1:17">
      <c r="A102" s="203" t="s">
        <v>1067</v>
      </c>
      <c r="B102" s="223"/>
      <c r="C102" s="224"/>
      <c r="D102" s="225"/>
      <c r="E102" s="225"/>
      <c r="F102" s="206" t="s">
        <v>788</v>
      </c>
      <c r="G102" s="226"/>
      <c r="H102" s="227"/>
      <c r="I102" s="184"/>
      <c r="J102" s="204" t="s">
        <v>907</v>
      </c>
      <c r="K102" s="226" t="s">
        <v>8</v>
      </c>
      <c r="L102" s="205" t="s">
        <v>794</v>
      </c>
      <c r="M102" s="206" t="s">
        <v>886</v>
      </c>
      <c r="N102" s="206" t="s">
        <v>767</v>
      </c>
      <c r="O102" s="209" t="s">
        <v>929</v>
      </c>
      <c r="P102" s="230"/>
      <c r="Q102" s="229" t="s">
        <v>1058</v>
      </c>
    </row>
    <row r="103" spans="1:17">
      <c r="A103" s="203" t="s">
        <v>1068</v>
      </c>
      <c r="B103" s="223" t="s">
        <v>992</v>
      </c>
      <c r="C103" s="205" t="s">
        <v>775</v>
      </c>
      <c r="D103" s="206" t="s">
        <v>905</v>
      </c>
      <c r="E103" s="206" t="s">
        <v>767</v>
      </c>
      <c r="F103" s="206" t="s">
        <v>788</v>
      </c>
      <c r="G103" s="226" t="s">
        <v>501</v>
      </c>
      <c r="H103" s="227" t="s">
        <v>477</v>
      </c>
      <c r="I103" s="184"/>
      <c r="J103" s="204" t="s">
        <v>907</v>
      </c>
      <c r="K103" s="226" t="s">
        <v>477</v>
      </c>
      <c r="L103" s="205" t="s">
        <v>794</v>
      </c>
      <c r="M103" s="225" t="s">
        <v>1069</v>
      </c>
      <c r="N103" s="225" t="s">
        <v>767</v>
      </c>
      <c r="O103" s="228"/>
      <c r="P103" s="228"/>
      <c r="Q103" s="229" t="s">
        <v>501</v>
      </c>
    </row>
    <row r="104" spans="1:17">
      <c r="A104" s="203" t="s">
        <v>1070</v>
      </c>
      <c r="B104" s="223" t="s">
        <v>992</v>
      </c>
      <c r="C104" s="205" t="s">
        <v>775</v>
      </c>
      <c r="D104" s="206" t="s">
        <v>875</v>
      </c>
      <c r="E104" s="206" t="s">
        <v>767</v>
      </c>
      <c r="F104" s="206" t="s">
        <v>788</v>
      </c>
      <c r="G104" s="226" t="s">
        <v>501</v>
      </c>
      <c r="H104" s="227" t="s">
        <v>1</v>
      </c>
      <c r="I104" s="184"/>
      <c r="J104" s="204" t="s">
        <v>999</v>
      </c>
      <c r="K104" s="226" t="s">
        <v>1</v>
      </c>
      <c r="L104" s="205" t="s">
        <v>1000</v>
      </c>
      <c r="M104" s="225" t="s">
        <v>1071</v>
      </c>
      <c r="N104" s="225" t="s">
        <v>767</v>
      </c>
      <c r="O104" s="228"/>
      <c r="P104" s="228"/>
      <c r="Q104" s="229" t="s">
        <v>501</v>
      </c>
    </row>
    <row r="105" spans="1:17">
      <c r="A105" s="203" t="s">
        <v>1072</v>
      </c>
      <c r="B105" s="223" t="s">
        <v>992</v>
      </c>
      <c r="C105" s="205" t="s">
        <v>775</v>
      </c>
      <c r="D105" s="225" t="s">
        <v>1054</v>
      </c>
      <c r="E105" s="206" t="s">
        <v>767</v>
      </c>
      <c r="F105" s="206" t="s">
        <v>788</v>
      </c>
      <c r="G105" s="226" t="s">
        <v>501</v>
      </c>
      <c r="H105" s="227" t="s">
        <v>1005</v>
      </c>
      <c r="I105" s="184"/>
      <c r="J105" s="204" t="s">
        <v>1006</v>
      </c>
      <c r="K105" s="226" t="s">
        <v>1005</v>
      </c>
      <c r="L105" s="205" t="s">
        <v>1007</v>
      </c>
      <c r="M105" s="225" t="s">
        <v>1073</v>
      </c>
      <c r="N105" s="225" t="s">
        <v>767</v>
      </c>
      <c r="O105" s="228"/>
      <c r="P105" s="228"/>
      <c r="Q105" s="229" t="s">
        <v>501</v>
      </c>
    </row>
    <row r="106" spans="1:17">
      <c r="A106" s="203" t="s">
        <v>1074</v>
      </c>
      <c r="B106" s="223" t="s">
        <v>992</v>
      </c>
      <c r="C106" s="205" t="s">
        <v>775</v>
      </c>
      <c r="D106" s="225" t="s">
        <v>1065</v>
      </c>
      <c r="E106" s="206" t="s">
        <v>767</v>
      </c>
      <c r="F106" s="206" t="s">
        <v>788</v>
      </c>
      <c r="G106" s="226" t="s">
        <v>501</v>
      </c>
      <c r="H106" s="227" t="s">
        <v>1075</v>
      </c>
      <c r="I106" s="184"/>
      <c r="J106" s="204" t="s">
        <v>907</v>
      </c>
      <c r="K106" s="226" t="s">
        <v>1075</v>
      </c>
      <c r="L106" s="205" t="s">
        <v>794</v>
      </c>
      <c r="M106" s="225" t="s">
        <v>1076</v>
      </c>
      <c r="N106" s="225" t="s">
        <v>767</v>
      </c>
      <c r="O106" s="228"/>
      <c r="P106" s="228"/>
      <c r="Q106" s="229" t="s">
        <v>501</v>
      </c>
    </row>
    <row r="107" spans="1:17">
      <c r="A107" s="203" t="s">
        <v>1077</v>
      </c>
      <c r="B107" s="223" t="s">
        <v>992</v>
      </c>
      <c r="C107" s="205" t="s">
        <v>775</v>
      </c>
      <c r="D107" s="225" t="s">
        <v>781</v>
      </c>
      <c r="E107" s="206" t="s">
        <v>767</v>
      </c>
      <c r="F107" s="206" t="s">
        <v>788</v>
      </c>
      <c r="G107" s="226" t="s">
        <v>501</v>
      </c>
      <c r="H107" s="227" t="s">
        <v>1078</v>
      </c>
      <c r="I107" s="184"/>
      <c r="J107" s="204" t="s">
        <v>907</v>
      </c>
      <c r="K107" s="226" t="s">
        <v>1078</v>
      </c>
      <c r="L107" s="205" t="s">
        <v>794</v>
      </c>
      <c r="M107" s="225" t="s">
        <v>983</v>
      </c>
      <c r="N107" s="225" t="s">
        <v>767</v>
      </c>
      <c r="O107" s="228"/>
      <c r="P107" s="228"/>
      <c r="Q107" s="229" t="s">
        <v>501</v>
      </c>
    </row>
    <row r="108" spans="1:17">
      <c r="A108" s="203" t="s">
        <v>1079</v>
      </c>
      <c r="B108" s="223" t="s">
        <v>992</v>
      </c>
      <c r="C108" s="205" t="s">
        <v>775</v>
      </c>
      <c r="D108" s="225" t="s">
        <v>787</v>
      </c>
      <c r="E108" s="206" t="s">
        <v>767</v>
      </c>
      <c r="F108" s="206" t="s">
        <v>788</v>
      </c>
      <c r="G108" s="226" t="s">
        <v>501</v>
      </c>
      <c r="H108" s="227" t="s">
        <v>1080</v>
      </c>
      <c r="I108" s="184"/>
      <c r="J108" s="204" t="s">
        <v>907</v>
      </c>
      <c r="K108" s="226" t="s">
        <v>1080</v>
      </c>
      <c r="L108" s="205" t="s">
        <v>794</v>
      </c>
      <c r="M108" s="225" t="s">
        <v>1015</v>
      </c>
      <c r="N108" s="225" t="s">
        <v>767</v>
      </c>
      <c r="O108" s="228"/>
      <c r="P108" s="228"/>
      <c r="Q108" s="229" t="s">
        <v>501</v>
      </c>
    </row>
    <row r="109" spans="1:17">
      <c r="A109" s="203" t="s">
        <v>1081</v>
      </c>
      <c r="B109" s="223" t="s">
        <v>992</v>
      </c>
      <c r="C109" s="205" t="s">
        <v>775</v>
      </c>
      <c r="D109" s="225" t="s">
        <v>902</v>
      </c>
      <c r="E109" s="206" t="s">
        <v>767</v>
      </c>
      <c r="F109" s="206" t="s">
        <v>788</v>
      </c>
      <c r="G109" s="226" t="s">
        <v>501</v>
      </c>
      <c r="H109" s="227" t="s">
        <v>1030</v>
      </c>
      <c r="I109" s="184"/>
      <c r="J109" s="204" t="s">
        <v>907</v>
      </c>
      <c r="K109" s="226" t="s">
        <v>1030</v>
      </c>
      <c r="L109" s="205" t="s">
        <v>794</v>
      </c>
      <c r="M109" s="225" t="s">
        <v>1019</v>
      </c>
      <c r="N109" s="225" t="s">
        <v>767</v>
      </c>
      <c r="O109" s="228"/>
      <c r="P109" s="228"/>
      <c r="Q109" s="229" t="s">
        <v>501</v>
      </c>
    </row>
    <row r="110" spans="1:17">
      <c r="A110" s="203" t="s">
        <v>1082</v>
      </c>
      <c r="B110" s="223" t="s">
        <v>992</v>
      </c>
      <c r="C110" s="205" t="s">
        <v>775</v>
      </c>
      <c r="D110" s="225" t="s">
        <v>1025</v>
      </c>
      <c r="E110" s="206" t="s">
        <v>767</v>
      </c>
      <c r="F110" s="206" t="s">
        <v>788</v>
      </c>
      <c r="G110" s="226" t="s">
        <v>501</v>
      </c>
      <c r="H110" s="227" t="s">
        <v>1083</v>
      </c>
      <c r="I110" s="184"/>
      <c r="J110" s="204" t="s">
        <v>907</v>
      </c>
      <c r="K110" s="226" t="s">
        <v>1083</v>
      </c>
      <c r="L110" s="205" t="s">
        <v>794</v>
      </c>
      <c r="M110" s="225" t="s">
        <v>1023</v>
      </c>
      <c r="N110" s="225" t="s">
        <v>767</v>
      </c>
      <c r="O110" s="228"/>
      <c r="P110" s="228"/>
      <c r="Q110" s="229" t="s">
        <v>501</v>
      </c>
    </row>
    <row r="111" spans="1:17">
      <c r="A111" s="203" t="s">
        <v>1084</v>
      </c>
      <c r="B111" s="223" t="s">
        <v>992</v>
      </c>
      <c r="C111" s="205" t="s">
        <v>775</v>
      </c>
      <c r="D111" s="225" t="s">
        <v>861</v>
      </c>
      <c r="E111" s="206" t="s">
        <v>767</v>
      </c>
      <c r="F111" s="206" t="s">
        <v>788</v>
      </c>
      <c r="G111" s="226" t="s">
        <v>501</v>
      </c>
      <c r="H111" s="227" t="s">
        <v>1085</v>
      </c>
      <c r="I111" s="184"/>
      <c r="J111" s="204" t="s">
        <v>907</v>
      </c>
      <c r="K111" s="226" t="s">
        <v>1085</v>
      </c>
      <c r="L111" s="205" t="s">
        <v>794</v>
      </c>
      <c r="M111" s="225" t="s">
        <v>1027</v>
      </c>
      <c r="N111" s="225" t="s">
        <v>767</v>
      </c>
      <c r="O111" s="228"/>
      <c r="P111" s="228"/>
      <c r="Q111" s="229" t="s">
        <v>501</v>
      </c>
    </row>
    <row r="112" spans="1:17">
      <c r="A112" s="203" t="s">
        <v>1086</v>
      </c>
      <c r="B112" s="223" t="s">
        <v>992</v>
      </c>
      <c r="C112" s="205" t="s">
        <v>775</v>
      </c>
      <c r="D112" s="225" t="s">
        <v>1087</v>
      </c>
      <c r="E112" s="206" t="s">
        <v>767</v>
      </c>
      <c r="F112" s="206" t="s">
        <v>788</v>
      </c>
      <c r="G112" s="226" t="s">
        <v>501</v>
      </c>
      <c r="H112" s="227" t="s">
        <v>1088</v>
      </c>
      <c r="I112" s="184"/>
      <c r="J112" s="204" t="s">
        <v>907</v>
      </c>
      <c r="K112" s="226" t="s">
        <v>1088</v>
      </c>
      <c r="L112" s="205" t="s">
        <v>794</v>
      </c>
      <c r="M112" s="225" t="s">
        <v>1089</v>
      </c>
      <c r="N112" s="225" t="s">
        <v>767</v>
      </c>
      <c r="O112" s="228"/>
      <c r="P112" s="228"/>
      <c r="Q112" s="229" t="s">
        <v>501</v>
      </c>
    </row>
    <row r="113" spans="1:17">
      <c r="A113" s="203" t="s">
        <v>1090</v>
      </c>
      <c r="B113" s="223" t="s">
        <v>992</v>
      </c>
      <c r="C113" s="205" t="s">
        <v>775</v>
      </c>
      <c r="D113" s="225" t="s">
        <v>1091</v>
      </c>
      <c r="E113" s="206" t="s">
        <v>767</v>
      </c>
      <c r="F113" s="206" t="s">
        <v>788</v>
      </c>
      <c r="G113" s="226" t="s">
        <v>501</v>
      </c>
      <c r="H113" s="227" t="s">
        <v>1092</v>
      </c>
      <c r="I113" s="184"/>
      <c r="J113" s="204" t="s">
        <v>907</v>
      </c>
      <c r="K113" s="226" t="s">
        <v>1092</v>
      </c>
      <c r="L113" s="205" t="s">
        <v>794</v>
      </c>
      <c r="M113" s="225" t="s">
        <v>1093</v>
      </c>
      <c r="N113" s="225" t="s">
        <v>767</v>
      </c>
      <c r="O113" s="228"/>
      <c r="P113" s="228"/>
      <c r="Q113" s="229" t="s">
        <v>501</v>
      </c>
    </row>
    <row r="114" spans="1:17">
      <c r="A114" s="203" t="s">
        <v>1094</v>
      </c>
      <c r="B114" s="223"/>
      <c r="C114" s="224"/>
      <c r="D114" s="225"/>
      <c r="E114" s="225"/>
      <c r="F114" s="206" t="s">
        <v>788</v>
      </c>
      <c r="G114" s="226"/>
      <c r="H114" s="227"/>
      <c r="I114" s="184"/>
      <c r="J114" s="204" t="s">
        <v>907</v>
      </c>
      <c r="K114" s="226" t="s">
        <v>8</v>
      </c>
      <c r="L114" s="205" t="s">
        <v>794</v>
      </c>
      <c r="M114" s="206" t="s">
        <v>886</v>
      </c>
      <c r="N114" s="206" t="s">
        <v>767</v>
      </c>
      <c r="O114" s="209" t="s">
        <v>929</v>
      </c>
      <c r="P114" s="230"/>
      <c r="Q114" s="229" t="s">
        <v>501</v>
      </c>
    </row>
    <row r="115" spans="1:17" ht="28.5">
      <c r="A115" s="203" t="s">
        <v>1095</v>
      </c>
      <c r="B115" s="204" t="s">
        <v>868</v>
      </c>
      <c r="C115" s="205" t="s">
        <v>775</v>
      </c>
      <c r="D115" s="206" t="s">
        <v>905</v>
      </c>
      <c r="E115" s="206" t="s">
        <v>767</v>
      </c>
      <c r="F115" s="206" t="s">
        <v>788</v>
      </c>
      <c r="G115" s="218" t="s">
        <v>1096</v>
      </c>
      <c r="H115" s="210" t="s">
        <v>986</v>
      </c>
      <c r="I115" s="184"/>
      <c r="J115" s="204" t="s">
        <v>934</v>
      </c>
      <c r="K115" s="218" t="s">
        <v>986</v>
      </c>
      <c r="L115" s="205" t="s">
        <v>794</v>
      </c>
      <c r="M115" s="225" t="s">
        <v>1097</v>
      </c>
      <c r="N115" s="206" t="s">
        <v>767</v>
      </c>
      <c r="O115" s="228"/>
      <c r="P115" s="228"/>
      <c r="Q115" s="229" t="s">
        <v>1098</v>
      </c>
    </row>
    <row r="116" spans="1:17" ht="28.5">
      <c r="A116" s="203" t="s">
        <v>1099</v>
      </c>
      <c r="B116" s="204" t="s">
        <v>868</v>
      </c>
      <c r="C116" s="205" t="s">
        <v>775</v>
      </c>
      <c r="D116" s="206" t="s">
        <v>875</v>
      </c>
      <c r="E116" s="206" t="s">
        <v>767</v>
      </c>
      <c r="F116" s="206" t="s">
        <v>788</v>
      </c>
      <c r="G116" s="218" t="s">
        <v>1096</v>
      </c>
      <c r="H116" s="210" t="s">
        <v>989</v>
      </c>
      <c r="I116" s="184"/>
      <c r="J116" s="204" t="s">
        <v>934</v>
      </c>
      <c r="K116" s="218" t="s">
        <v>989</v>
      </c>
      <c r="L116" s="205" t="s">
        <v>794</v>
      </c>
      <c r="M116" s="225" t="s">
        <v>821</v>
      </c>
      <c r="N116" s="206" t="s">
        <v>767</v>
      </c>
      <c r="O116" s="228"/>
      <c r="P116" s="228"/>
      <c r="Q116" s="229" t="s">
        <v>1098</v>
      </c>
    </row>
    <row r="117" spans="1:17">
      <c r="A117" s="203" t="s">
        <v>1100</v>
      </c>
      <c r="B117" s="223" t="s">
        <v>992</v>
      </c>
      <c r="C117" s="205" t="s">
        <v>775</v>
      </c>
      <c r="D117" s="206" t="s">
        <v>905</v>
      </c>
      <c r="E117" s="206" t="s">
        <v>767</v>
      </c>
      <c r="F117" s="206" t="s">
        <v>788</v>
      </c>
      <c r="G117" s="226" t="s">
        <v>993</v>
      </c>
      <c r="H117" s="227" t="s">
        <v>994</v>
      </c>
      <c r="I117" s="184"/>
      <c r="J117" s="204" t="s">
        <v>934</v>
      </c>
      <c r="K117" s="226" t="s">
        <v>994</v>
      </c>
      <c r="L117" s="205" t="s">
        <v>794</v>
      </c>
      <c r="M117" s="225" t="s">
        <v>1101</v>
      </c>
      <c r="N117" s="206" t="s">
        <v>767</v>
      </c>
      <c r="O117" s="228"/>
      <c r="P117" s="228"/>
      <c r="Q117" s="229" t="s">
        <v>993</v>
      </c>
    </row>
    <row r="118" spans="1:17">
      <c r="A118" s="203" t="s">
        <v>1102</v>
      </c>
      <c r="B118" s="204" t="s">
        <v>868</v>
      </c>
      <c r="C118" s="205" t="s">
        <v>775</v>
      </c>
      <c r="D118" s="206" t="s">
        <v>905</v>
      </c>
      <c r="E118" s="206" t="s">
        <v>767</v>
      </c>
      <c r="F118" s="206" t="s">
        <v>788</v>
      </c>
      <c r="G118" s="218" t="s">
        <v>997</v>
      </c>
      <c r="H118" s="210" t="s">
        <v>998</v>
      </c>
      <c r="I118" s="184"/>
      <c r="J118" s="204" t="s">
        <v>1103</v>
      </c>
      <c r="K118" s="226" t="s">
        <v>998</v>
      </c>
      <c r="L118" s="205" t="s">
        <v>1000</v>
      </c>
      <c r="M118" s="225" t="s">
        <v>1104</v>
      </c>
      <c r="N118" s="206" t="s">
        <v>767</v>
      </c>
      <c r="O118" s="228"/>
      <c r="P118" s="228"/>
      <c r="Q118" s="229" t="s">
        <v>1105</v>
      </c>
    </row>
    <row r="119" spans="1:17">
      <c r="A119" s="203" t="s">
        <v>1106</v>
      </c>
      <c r="B119" s="204" t="s">
        <v>868</v>
      </c>
      <c r="C119" s="205" t="s">
        <v>775</v>
      </c>
      <c r="D119" s="206" t="s">
        <v>875</v>
      </c>
      <c r="E119" s="206" t="s">
        <v>767</v>
      </c>
      <c r="F119" s="206" t="s">
        <v>788</v>
      </c>
      <c r="G119" s="218" t="s">
        <v>997</v>
      </c>
      <c r="H119" s="210" t="s">
        <v>1003</v>
      </c>
      <c r="I119" s="184"/>
      <c r="J119" s="204" t="s">
        <v>934</v>
      </c>
      <c r="K119" s="226" t="s">
        <v>1003</v>
      </c>
      <c r="L119" s="205" t="s">
        <v>794</v>
      </c>
      <c r="M119" s="225" t="s">
        <v>1107</v>
      </c>
      <c r="N119" s="206" t="s">
        <v>767</v>
      </c>
      <c r="O119" s="228"/>
      <c r="P119" s="228"/>
      <c r="Q119" s="229" t="s">
        <v>1105</v>
      </c>
    </row>
    <row r="120" spans="1:17">
      <c r="A120" s="203" t="s">
        <v>1108</v>
      </c>
      <c r="B120" s="223" t="s">
        <v>992</v>
      </c>
      <c r="C120" s="205" t="s">
        <v>775</v>
      </c>
      <c r="D120" s="206" t="s">
        <v>888</v>
      </c>
      <c r="E120" s="206" t="s">
        <v>767</v>
      </c>
      <c r="F120" s="206" t="s">
        <v>788</v>
      </c>
      <c r="G120" s="218" t="s">
        <v>997</v>
      </c>
      <c r="H120" s="227" t="s">
        <v>1005</v>
      </c>
      <c r="I120" s="184"/>
      <c r="J120" s="204" t="s">
        <v>1109</v>
      </c>
      <c r="K120" s="226" t="s">
        <v>1005</v>
      </c>
      <c r="L120" s="205" t="s">
        <v>1007</v>
      </c>
      <c r="M120" s="225" t="s">
        <v>1110</v>
      </c>
      <c r="N120" s="206" t="s">
        <v>767</v>
      </c>
      <c r="O120" s="228"/>
      <c r="P120" s="228"/>
      <c r="Q120" s="229" t="s">
        <v>1105</v>
      </c>
    </row>
    <row r="121" spans="1:17">
      <c r="A121" s="203" t="s">
        <v>1111</v>
      </c>
      <c r="B121" s="223" t="s">
        <v>992</v>
      </c>
      <c r="C121" s="205" t="s">
        <v>775</v>
      </c>
      <c r="D121" s="225" t="s">
        <v>1010</v>
      </c>
      <c r="E121" s="206" t="s">
        <v>767</v>
      </c>
      <c r="F121" s="206" t="s">
        <v>788</v>
      </c>
      <c r="G121" s="218" t="s">
        <v>997</v>
      </c>
      <c r="H121" s="227" t="s">
        <v>1011</v>
      </c>
      <c r="I121" s="184"/>
      <c r="J121" s="204" t="s">
        <v>934</v>
      </c>
      <c r="K121" s="226" t="s">
        <v>1011</v>
      </c>
      <c r="L121" s="205" t="s">
        <v>794</v>
      </c>
      <c r="M121" s="225" t="s">
        <v>1112</v>
      </c>
      <c r="N121" s="206" t="s">
        <v>767</v>
      </c>
      <c r="O121" s="228"/>
      <c r="P121" s="228"/>
      <c r="Q121" s="229" t="s">
        <v>1105</v>
      </c>
    </row>
    <row r="122" spans="1:17">
      <c r="A122" s="203" t="s">
        <v>1113</v>
      </c>
      <c r="B122" s="223" t="s">
        <v>992</v>
      </c>
      <c r="C122" s="205" t="s">
        <v>775</v>
      </c>
      <c r="D122" s="225" t="s">
        <v>1013</v>
      </c>
      <c r="E122" s="206" t="s">
        <v>767</v>
      </c>
      <c r="F122" s="206" t="s">
        <v>788</v>
      </c>
      <c r="G122" s="218" t="s">
        <v>997</v>
      </c>
      <c r="H122" s="227" t="s">
        <v>1014</v>
      </c>
      <c r="I122" s="184"/>
      <c r="J122" s="204" t="s">
        <v>934</v>
      </c>
      <c r="K122" s="226" t="s">
        <v>1014</v>
      </c>
      <c r="L122" s="205" t="s">
        <v>794</v>
      </c>
      <c r="M122" s="225" t="s">
        <v>1114</v>
      </c>
      <c r="N122" s="206" t="s">
        <v>767</v>
      </c>
      <c r="O122" s="228"/>
      <c r="P122" s="228"/>
      <c r="Q122" s="229" t="s">
        <v>1105</v>
      </c>
    </row>
    <row r="123" spans="1:17">
      <c r="A123" s="203" t="s">
        <v>1115</v>
      </c>
      <c r="B123" s="223" t="s">
        <v>992</v>
      </c>
      <c r="C123" s="205" t="s">
        <v>775</v>
      </c>
      <c r="D123" s="225" t="s">
        <v>1017</v>
      </c>
      <c r="E123" s="206" t="s">
        <v>767</v>
      </c>
      <c r="F123" s="206" t="s">
        <v>788</v>
      </c>
      <c r="G123" s="218" t="s">
        <v>997</v>
      </c>
      <c r="H123" s="227" t="s">
        <v>1018</v>
      </c>
      <c r="I123" s="184"/>
      <c r="J123" s="204" t="s">
        <v>934</v>
      </c>
      <c r="K123" s="226" t="s">
        <v>1018</v>
      </c>
      <c r="L123" s="205" t="s">
        <v>794</v>
      </c>
      <c r="M123" s="225" t="s">
        <v>1116</v>
      </c>
      <c r="N123" s="206" t="s">
        <v>767</v>
      </c>
      <c r="O123" s="228"/>
      <c r="P123" s="228"/>
      <c r="Q123" s="229" t="s">
        <v>1105</v>
      </c>
    </row>
    <row r="124" spans="1:17">
      <c r="A124" s="203" t="s">
        <v>1117</v>
      </c>
      <c r="B124" s="223" t="s">
        <v>992</v>
      </c>
      <c r="C124" s="205" t="s">
        <v>775</v>
      </c>
      <c r="D124" s="225" t="s">
        <v>1021</v>
      </c>
      <c r="E124" s="206" t="s">
        <v>767</v>
      </c>
      <c r="F124" s="206" t="s">
        <v>788</v>
      </c>
      <c r="G124" s="218" t="s">
        <v>997</v>
      </c>
      <c r="H124" s="227" t="s">
        <v>1022</v>
      </c>
      <c r="I124" s="184"/>
      <c r="J124" s="204" t="s">
        <v>931</v>
      </c>
      <c r="K124" s="226" t="s">
        <v>1022</v>
      </c>
      <c r="L124" s="205" t="s">
        <v>775</v>
      </c>
      <c r="M124" s="225" t="s">
        <v>1118</v>
      </c>
      <c r="N124" s="206" t="s">
        <v>767</v>
      </c>
      <c r="O124" s="228"/>
      <c r="P124" s="228"/>
      <c r="Q124" s="229" t="s">
        <v>1105</v>
      </c>
    </row>
    <row r="125" spans="1:17">
      <c r="A125" s="203" t="s">
        <v>1119</v>
      </c>
      <c r="B125" s="223" t="s">
        <v>992</v>
      </c>
      <c r="C125" s="205" t="s">
        <v>775</v>
      </c>
      <c r="D125" s="225" t="s">
        <v>1025</v>
      </c>
      <c r="E125" s="206" t="s">
        <v>767</v>
      </c>
      <c r="F125" s="206" t="s">
        <v>788</v>
      </c>
      <c r="G125" s="218" t="s">
        <v>997</v>
      </c>
      <c r="H125" s="227" t="s">
        <v>1026</v>
      </c>
      <c r="I125" s="184"/>
      <c r="J125" s="204" t="s">
        <v>934</v>
      </c>
      <c r="K125" s="226" t="s">
        <v>1026</v>
      </c>
      <c r="L125" s="205" t="s">
        <v>794</v>
      </c>
      <c r="M125" s="225" t="s">
        <v>1120</v>
      </c>
      <c r="N125" s="206" t="s">
        <v>767</v>
      </c>
      <c r="O125" s="228"/>
      <c r="P125" s="228"/>
      <c r="Q125" s="229" t="s">
        <v>1105</v>
      </c>
    </row>
    <row r="126" spans="1:17">
      <c r="A126" s="203" t="s">
        <v>1121</v>
      </c>
      <c r="B126" s="223" t="s">
        <v>992</v>
      </c>
      <c r="C126" s="205" t="s">
        <v>775</v>
      </c>
      <c r="D126" s="225" t="s">
        <v>1029</v>
      </c>
      <c r="E126" s="206" t="s">
        <v>767</v>
      </c>
      <c r="F126" s="206" t="s">
        <v>788</v>
      </c>
      <c r="G126" s="218" t="s">
        <v>997</v>
      </c>
      <c r="H126" s="227" t="s">
        <v>1030</v>
      </c>
      <c r="I126" s="184"/>
      <c r="J126" s="204" t="s">
        <v>934</v>
      </c>
      <c r="K126" s="226" t="s">
        <v>1030</v>
      </c>
      <c r="L126" s="205" t="s">
        <v>794</v>
      </c>
      <c r="M126" s="225" t="s">
        <v>1122</v>
      </c>
      <c r="N126" s="206" t="s">
        <v>767</v>
      </c>
      <c r="O126" s="228"/>
      <c r="P126" s="228"/>
      <c r="Q126" s="229" t="s">
        <v>1105</v>
      </c>
    </row>
    <row r="127" spans="1:17">
      <c r="A127" s="203" t="s">
        <v>1123</v>
      </c>
      <c r="B127" s="223" t="s">
        <v>992</v>
      </c>
      <c r="C127" s="205" t="s">
        <v>775</v>
      </c>
      <c r="D127" s="206" t="s">
        <v>905</v>
      </c>
      <c r="E127" s="206" t="s">
        <v>767</v>
      </c>
      <c r="F127" s="206" t="s">
        <v>788</v>
      </c>
      <c r="G127" s="224" t="s">
        <v>1034</v>
      </c>
      <c r="H127" s="227" t="s">
        <v>489</v>
      </c>
      <c r="I127" s="184"/>
      <c r="J127" s="204" t="s">
        <v>934</v>
      </c>
      <c r="K127" s="226" t="s">
        <v>489</v>
      </c>
      <c r="L127" s="205" t="s">
        <v>794</v>
      </c>
      <c r="M127" s="225" t="s">
        <v>1124</v>
      </c>
      <c r="N127" s="206" t="s">
        <v>767</v>
      </c>
      <c r="O127" s="228"/>
      <c r="P127" s="228"/>
      <c r="Q127" s="229" t="s">
        <v>1125</v>
      </c>
    </row>
    <row r="128" spans="1:17" ht="28.5">
      <c r="A128" s="203" t="s">
        <v>1126</v>
      </c>
      <c r="B128" s="223" t="s">
        <v>992</v>
      </c>
      <c r="C128" s="205" t="s">
        <v>775</v>
      </c>
      <c r="D128" s="206" t="s">
        <v>875</v>
      </c>
      <c r="E128" s="206" t="s">
        <v>767</v>
      </c>
      <c r="F128" s="206" t="s">
        <v>788</v>
      </c>
      <c r="G128" s="224" t="s">
        <v>1034</v>
      </c>
      <c r="H128" s="227" t="s">
        <v>490</v>
      </c>
      <c r="I128" s="184"/>
      <c r="J128" s="204" t="s">
        <v>934</v>
      </c>
      <c r="K128" s="226" t="s">
        <v>490</v>
      </c>
      <c r="L128" s="205" t="s">
        <v>794</v>
      </c>
      <c r="M128" s="225" t="s">
        <v>1127</v>
      </c>
      <c r="N128" s="206" t="s">
        <v>767</v>
      </c>
      <c r="O128" s="228"/>
      <c r="P128" s="228"/>
      <c r="Q128" s="229" t="s">
        <v>1125</v>
      </c>
    </row>
    <row r="129" spans="1:17" ht="28.5">
      <c r="A129" s="203" t="s">
        <v>1128</v>
      </c>
      <c r="B129" s="223" t="s">
        <v>992</v>
      </c>
      <c r="C129" s="205" t="s">
        <v>775</v>
      </c>
      <c r="D129" s="206" t="s">
        <v>888</v>
      </c>
      <c r="E129" s="206" t="s">
        <v>767</v>
      </c>
      <c r="F129" s="206" t="s">
        <v>788</v>
      </c>
      <c r="G129" s="224" t="s">
        <v>1034</v>
      </c>
      <c r="H129" s="227" t="s">
        <v>1039</v>
      </c>
      <c r="I129" s="184"/>
      <c r="J129" s="204" t="s">
        <v>934</v>
      </c>
      <c r="K129" s="226" t="s">
        <v>1039</v>
      </c>
      <c r="L129" s="205" t="s">
        <v>794</v>
      </c>
      <c r="M129" s="225" t="s">
        <v>1129</v>
      </c>
      <c r="N129" s="206" t="s">
        <v>767</v>
      </c>
      <c r="O129" s="228"/>
      <c r="P129" s="228"/>
      <c r="Q129" s="229" t="s">
        <v>1125</v>
      </c>
    </row>
    <row r="130" spans="1:17" ht="28.5">
      <c r="A130" s="203" t="s">
        <v>1130</v>
      </c>
      <c r="B130" s="223" t="s">
        <v>992</v>
      </c>
      <c r="C130" s="205" t="s">
        <v>775</v>
      </c>
      <c r="D130" s="225" t="s">
        <v>1010</v>
      </c>
      <c r="E130" s="206" t="s">
        <v>767</v>
      </c>
      <c r="F130" s="206" t="s">
        <v>788</v>
      </c>
      <c r="G130" s="224" t="s">
        <v>1034</v>
      </c>
      <c r="H130" s="227" t="s">
        <v>1042</v>
      </c>
      <c r="I130" s="184"/>
      <c r="J130" s="204" t="s">
        <v>934</v>
      </c>
      <c r="K130" s="226" t="s">
        <v>1042</v>
      </c>
      <c r="L130" s="205" t="s">
        <v>794</v>
      </c>
      <c r="M130" s="225" t="s">
        <v>1131</v>
      </c>
      <c r="N130" s="206" t="s">
        <v>767</v>
      </c>
      <c r="O130" s="228"/>
      <c r="P130" s="228"/>
      <c r="Q130" s="229" t="s">
        <v>1125</v>
      </c>
    </row>
    <row r="131" spans="1:17">
      <c r="A131" s="203" t="s">
        <v>1132</v>
      </c>
      <c r="B131" s="223" t="s">
        <v>992</v>
      </c>
      <c r="C131" s="205" t="s">
        <v>775</v>
      </c>
      <c r="D131" s="206" t="s">
        <v>905</v>
      </c>
      <c r="E131" s="206" t="s">
        <v>767</v>
      </c>
      <c r="F131" s="206" t="s">
        <v>788</v>
      </c>
      <c r="G131" s="224" t="s">
        <v>1050</v>
      </c>
      <c r="H131" s="227" t="s">
        <v>473</v>
      </c>
      <c r="I131" s="184"/>
      <c r="J131" s="204" t="s">
        <v>934</v>
      </c>
      <c r="K131" s="226" t="s">
        <v>473</v>
      </c>
      <c r="L131" s="205" t="s">
        <v>794</v>
      </c>
      <c r="M131" s="225" t="s">
        <v>1133</v>
      </c>
      <c r="N131" s="206" t="s">
        <v>767</v>
      </c>
      <c r="O131" s="228"/>
      <c r="P131" s="228"/>
      <c r="Q131" s="229" t="s">
        <v>1125</v>
      </c>
    </row>
    <row r="132" spans="1:17">
      <c r="A132" s="203" t="s">
        <v>1134</v>
      </c>
      <c r="B132" s="223" t="s">
        <v>992</v>
      </c>
      <c r="C132" s="205" t="s">
        <v>775</v>
      </c>
      <c r="D132" s="206" t="s">
        <v>875</v>
      </c>
      <c r="E132" s="206" t="s">
        <v>767</v>
      </c>
      <c r="F132" s="206" t="s">
        <v>788</v>
      </c>
      <c r="G132" s="224" t="s">
        <v>1050</v>
      </c>
      <c r="H132" s="227" t="s">
        <v>1052</v>
      </c>
      <c r="I132" s="184"/>
      <c r="J132" s="204" t="s">
        <v>934</v>
      </c>
      <c r="K132" s="226" t="s">
        <v>1052</v>
      </c>
      <c r="L132" s="205" t="s">
        <v>794</v>
      </c>
      <c r="M132" s="225" t="s">
        <v>1135</v>
      </c>
      <c r="N132" s="206" t="s">
        <v>767</v>
      </c>
      <c r="O132" s="228"/>
      <c r="P132" s="228"/>
      <c r="Q132" s="229" t="s">
        <v>1125</v>
      </c>
    </row>
    <row r="133" spans="1:17" ht="28.5">
      <c r="A133" s="203" t="s">
        <v>1136</v>
      </c>
      <c r="B133" s="223" t="s">
        <v>992</v>
      </c>
      <c r="C133" s="205" t="s">
        <v>775</v>
      </c>
      <c r="D133" s="225" t="s">
        <v>1054</v>
      </c>
      <c r="E133" s="206" t="s">
        <v>767</v>
      </c>
      <c r="F133" s="206" t="s">
        <v>788</v>
      </c>
      <c r="G133" s="224" t="s">
        <v>1050</v>
      </c>
      <c r="H133" s="227" t="s">
        <v>495</v>
      </c>
      <c r="I133" s="184"/>
      <c r="J133" s="204" t="s">
        <v>934</v>
      </c>
      <c r="K133" s="226" t="s">
        <v>495</v>
      </c>
      <c r="L133" s="205" t="s">
        <v>794</v>
      </c>
      <c r="M133" s="225" t="s">
        <v>1137</v>
      </c>
      <c r="N133" s="206" t="s">
        <v>767</v>
      </c>
      <c r="O133" s="228"/>
      <c r="P133" s="228"/>
      <c r="Q133" s="229" t="s">
        <v>1125</v>
      </c>
    </row>
    <row r="134" spans="1:17">
      <c r="A134" s="203" t="s">
        <v>1138</v>
      </c>
      <c r="B134" s="223"/>
      <c r="C134" s="224"/>
      <c r="D134" s="225"/>
      <c r="E134" s="225"/>
      <c r="F134" s="231" t="s">
        <v>777</v>
      </c>
      <c r="G134" s="226"/>
      <c r="H134" s="227"/>
      <c r="I134" s="184"/>
      <c r="J134" s="204" t="s">
        <v>931</v>
      </c>
      <c r="K134" s="226" t="s">
        <v>476</v>
      </c>
      <c r="L134" s="205" t="s">
        <v>775</v>
      </c>
      <c r="M134" s="225" t="s">
        <v>1139</v>
      </c>
      <c r="N134" s="206" t="s">
        <v>767</v>
      </c>
      <c r="O134" s="228"/>
      <c r="P134" s="230"/>
      <c r="Q134" s="229" t="s">
        <v>1125</v>
      </c>
    </row>
    <row r="135" spans="1:17" ht="28.5">
      <c r="A135" s="203" t="s">
        <v>1140</v>
      </c>
      <c r="B135" s="223" t="s">
        <v>992</v>
      </c>
      <c r="C135" s="205" t="s">
        <v>775</v>
      </c>
      <c r="D135" s="206" t="s">
        <v>905</v>
      </c>
      <c r="E135" s="206" t="s">
        <v>767</v>
      </c>
      <c r="F135" s="206" t="s">
        <v>788</v>
      </c>
      <c r="G135" s="226" t="s">
        <v>1058</v>
      </c>
      <c r="H135" s="227" t="s">
        <v>1141</v>
      </c>
      <c r="I135" s="184"/>
      <c r="J135" s="204" t="s">
        <v>934</v>
      </c>
      <c r="K135" s="226" t="s">
        <v>1059</v>
      </c>
      <c r="L135" s="205" t="s">
        <v>794</v>
      </c>
      <c r="M135" s="225" t="s">
        <v>1142</v>
      </c>
      <c r="N135" s="206" t="s">
        <v>767</v>
      </c>
      <c r="O135" s="228"/>
      <c r="P135" s="228"/>
      <c r="Q135" s="229" t="s">
        <v>1058</v>
      </c>
    </row>
    <row r="136" spans="1:17" ht="28.5">
      <c r="A136" s="203" t="s">
        <v>1143</v>
      </c>
      <c r="B136" s="223" t="s">
        <v>992</v>
      </c>
      <c r="C136" s="205" t="s">
        <v>775</v>
      </c>
      <c r="D136" s="206" t="s">
        <v>875</v>
      </c>
      <c r="E136" s="206" t="s">
        <v>767</v>
      </c>
      <c r="F136" s="206" t="s">
        <v>788</v>
      </c>
      <c r="G136" s="226" t="s">
        <v>1058</v>
      </c>
      <c r="H136" s="227" t="s">
        <v>1144</v>
      </c>
      <c r="I136" s="184"/>
      <c r="J136" s="204" t="s">
        <v>934</v>
      </c>
      <c r="K136" s="226" t="s">
        <v>1061</v>
      </c>
      <c r="L136" s="205" t="s">
        <v>794</v>
      </c>
      <c r="M136" s="225" t="s">
        <v>1145</v>
      </c>
      <c r="N136" s="206" t="s">
        <v>767</v>
      </c>
      <c r="O136" s="228"/>
      <c r="P136" s="228"/>
      <c r="Q136" s="229" t="s">
        <v>1058</v>
      </c>
    </row>
    <row r="137" spans="1:17">
      <c r="A137" s="203" t="s">
        <v>1146</v>
      </c>
      <c r="B137" s="223" t="s">
        <v>992</v>
      </c>
      <c r="C137" s="205" t="s">
        <v>775</v>
      </c>
      <c r="D137" s="225" t="s">
        <v>1054</v>
      </c>
      <c r="E137" s="206" t="s">
        <v>767</v>
      </c>
      <c r="F137" s="206" t="s">
        <v>788</v>
      </c>
      <c r="G137" s="226" t="s">
        <v>1058</v>
      </c>
      <c r="H137" s="227" t="s">
        <v>1063</v>
      </c>
      <c r="I137" s="184"/>
      <c r="J137" s="204" t="s">
        <v>934</v>
      </c>
      <c r="K137" s="226" t="s">
        <v>1063</v>
      </c>
      <c r="L137" s="205" t="s">
        <v>794</v>
      </c>
      <c r="M137" s="225" t="s">
        <v>1147</v>
      </c>
      <c r="N137" s="206" t="s">
        <v>767</v>
      </c>
      <c r="O137" s="228"/>
      <c r="P137" s="228"/>
      <c r="Q137" s="229" t="s">
        <v>1058</v>
      </c>
    </row>
    <row r="138" spans="1:17">
      <c r="A138" s="203" t="s">
        <v>1148</v>
      </c>
      <c r="B138" s="223" t="s">
        <v>992</v>
      </c>
      <c r="C138" s="205" t="s">
        <v>775</v>
      </c>
      <c r="D138" s="225" t="s">
        <v>1065</v>
      </c>
      <c r="E138" s="206" t="s">
        <v>767</v>
      </c>
      <c r="F138" s="206" t="s">
        <v>788</v>
      </c>
      <c r="G138" s="226" t="s">
        <v>1058</v>
      </c>
      <c r="H138" s="227" t="s">
        <v>1066</v>
      </c>
      <c r="I138" s="184"/>
      <c r="J138" s="204" t="s">
        <v>934</v>
      </c>
      <c r="K138" s="226" t="s">
        <v>1066</v>
      </c>
      <c r="L138" s="205" t="s">
        <v>794</v>
      </c>
      <c r="M138" s="225" t="s">
        <v>1149</v>
      </c>
      <c r="N138" s="206" t="s">
        <v>767</v>
      </c>
      <c r="O138" s="228"/>
      <c r="P138" s="228"/>
      <c r="Q138" s="229" t="s">
        <v>1058</v>
      </c>
    </row>
    <row r="139" spans="1:17">
      <c r="A139" s="203" t="s">
        <v>1150</v>
      </c>
      <c r="B139" s="223" t="s">
        <v>992</v>
      </c>
      <c r="C139" s="205" t="s">
        <v>775</v>
      </c>
      <c r="D139" s="206" t="s">
        <v>905</v>
      </c>
      <c r="E139" s="206" t="s">
        <v>767</v>
      </c>
      <c r="F139" s="206" t="s">
        <v>788</v>
      </c>
      <c r="G139" s="226" t="s">
        <v>501</v>
      </c>
      <c r="H139" s="227" t="s">
        <v>477</v>
      </c>
      <c r="I139" s="184"/>
      <c r="J139" s="204" t="s">
        <v>934</v>
      </c>
      <c r="K139" s="226" t="s">
        <v>477</v>
      </c>
      <c r="L139" s="205" t="s">
        <v>794</v>
      </c>
      <c r="M139" s="225" t="s">
        <v>1151</v>
      </c>
      <c r="N139" s="206" t="s">
        <v>767</v>
      </c>
      <c r="O139" s="228"/>
      <c r="P139" s="228"/>
      <c r="Q139" s="229" t="s">
        <v>1152</v>
      </c>
    </row>
    <row r="140" spans="1:17">
      <c r="A140" s="203" t="s">
        <v>1153</v>
      </c>
      <c r="B140" s="223" t="s">
        <v>992</v>
      </c>
      <c r="C140" s="205" t="s">
        <v>775</v>
      </c>
      <c r="D140" s="206" t="s">
        <v>875</v>
      </c>
      <c r="E140" s="206" t="s">
        <v>767</v>
      </c>
      <c r="F140" s="206" t="s">
        <v>788</v>
      </c>
      <c r="G140" s="226" t="s">
        <v>501</v>
      </c>
      <c r="H140" s="227" t="s">
        <v>1</v>
      </c>
      <c r="I140" s="184"/>
      <c r="J140" s="204" t="s">
        <v>1103</v>
      </c>
      <c r="K140" s="226" t="s">
        <v>1</v>
      </c>
      <c r="L140" s="205" t="s">
        <v>1000</v>
      </c>
      <c r="M140" s="225" t="s">
        <v>1154</v>
      </c>
      <c r="N140" s="206" t="s">
        <v>767</v>
      </c>
      <c r="O140" s="228"/>
      <c r="P140" s="228"/>
      <c r="Q140" s="229" t="s">
        <v>1152</v>
      </c>
    </row>
    <row r="141" spans="1:17">
      <c r="A141" s="203" t="s">
        <v>1155</v>
      </c>
      <c r="B141" s="223" t="s">
        <v>992</v>
      </c>
      <c r="C141" s="205" t="s">
        <v>775</v>
      </c>
      <c r="D141" s="225" t="s">
        <v>1054</v>
      </c>
      <c r="E141" s="206" t="s">
        <v>767</v>
      </c>
      <c r="F141" s="206" t="s">
        <v>788</v>
      </c>
      <c r="G141" s="226" t="s">
        <v>501</v>
      </c>
      <c r="H141" s="227" t="s">
        <v>1005</v>
      </c>
      <c r="I141" s="184"/>
      <c r="J141" s="204" t="s">
        <v>1109</v>
      </c>
      <c r="K141" s="226" t="s">
        <v>1005</v>
      </c>
      <c r="L141" s="205" t="s">
        <v>1007</v>
      </c>
      <c r="M141" s="225" t="s">
        <v>1156</v>
      </c>
      <c r="N141" s="206" t="s">
        <v>767</v>
      </c>
      <c r="O141" s="228"/>
      <c r="P141" s="228"/>
      <c r="Q141" s="229" t="s">
        <v>1152</v>
      </c>
    </row>
    <row r="142" spans="1:17">
      <c r="A142" s="203" t="s">
        <v>1157</v>
      </c>
      <c r="B142" s="223" t="s">
        <v>992</v>
      </c>
      <c r="C142" s="205" t="s">
        <v>775</v>
      </c>
      <c r="D142" s="225" t="s">
        <v>1065</v>
      </c>
      <c r="E142" s="206" t="s">
        <v>767</v>
      </c>
      <c r="F142" s="206" t="s">
        <v>788</v>
      </c>
      <c r="G142" s="226" t="s">
        <v>501</v>
      </c>
      <c r="H142" s="227" t="s">
        <v>1075</v>
      </c>
      <c r="I142" s="184"/>
      <c r="J142" s="204" t="s">
        <v>934</v>
      </c>
      <c r="K142" s="226" t="s">
        <v>1075</v>
      </c>
      <c r="L142" s="205" t="s">
        <v>794</v>
      </c>
      <c r="M142" s="225" t="s">
        <v>1158</v>
      </c>
      <c r="N142" s="206" t="s">
        <v>767</v>
      </c>
      <c r="O142" s="228"/>
      <c r="P142" s="228"/>
      <c r="Q142" s="229" t="s">
        <v>1152</v>
      </c>
    </row>
    <row r="143" spans="1:17">
      <c r="A143" s="203" t="s">
        <v>1159</v>
      </c>
      <c r="B143" s="223" t="s">
        <v>992</v>
      </c>
      <c r="C143" s="205" t="s">
        <v>775</v>
      </c>
      <c r="D143" s="225" t="s">
        <v>781</v>
      </c>
      <c r="E143" s="206" t="s">
        <v>767</v>
      </c>
      <c r="F143" s="206" t="s">
        <v>788</v>
      </c>
      <c r="G143" s="226" t="s">
        <v>501</v>
      </c>
      <c r="H143" s="227" t="s">
        <v>1078</v>
      </c>
      <c r="I143" s="184"/>
      <c r="J143" s="204" t="s">
        <v>934</v>
      </c>
      <c r="K143" s="226" t="s">
        <v>1078</v>
      </c>
      <c r="L143" s="205" t="s">
        <v>794</v>
      </c>
      <c r="M143" s="225" t="s">
        <v>1160</v>
      </c>
      <c r="N143" s="206" t="s">
        <v>767</v>
      </c>
      <c r="O143" s="228"/>
      <c r="P143" s="228"/>
      <c r="Q143" s="229" t="s">
        <v>1152</v>
      </c>
    </row>
    <row r="144" spans="1:17">
      <c r="A144" s="203" t="s">
        <v>1161</v>
      </c>
      <c r="B144" s="223" t="s">
        <v>992</v>
      </c>
      <c r="C144" s="205" t="s">
        <v>775</v>
      </c>
      <c r="D144" s="225" t="s">
        <v>787</v>
      </c>
      <c r="E144" s="206" t="s">
        <v>767</v>
      </c>
      <c r="F144" s="206" t="s">
        <v>788</v>
      </c>
      <c r="G144" s="226" t="s">
        <v>501</v>
      </c>
      <c r="H144" s="227" t="s">
        <v>1080</v>
      </c>
      <c r="I144" s="184"/>
      <c r="J144" s="204" t="s">
        <v>934</v>
      </c>
      <c r="K144" s="226" t="s">
        <v>1080</v>
      </c>
      <c r="L144" s="205" t="s">
        <v>794</v>
      </c>
      <c r="M144" s="225" t="s">
        <v>1162</v>
      </c>
      <c r="N144" s="206" t="s">
        <v>767</v>
      </c>
      <c r="O144" s="228"/>
      <c r="P144" s="228"/>
      <c r="Q144" s="229" t="s">
        <v>1152</v>
      </c>
    </row>
    <row r="145" spans="1:17">
      <c r="A145" s="203" t="s">
        <v>1163</v>
      </c>
      <c r="B145" s="223" t="s">
        <v>992</v>
      </c>
      <c r="C145" s="205" t="s">
        <v>775</v>
      </c>
      <c r="D145" s="225" t="s">
        <v>902</v>
      </c>
      <c r="E145" s="206" t="s">
        <v>767</v>
      </c>
      <c r="F145" s="206" t="s">
        <v>788</v>
      </c>
      <c r="G145" s="226" t="s">
        <v>501</v>
      </c>
      <c r="H145" s="227" t="s">
        <v>1030</v>
      </c>
      <c r="I145" s="184"/>
      <c r="J145" s="204" t="s">
        <v>934</v>
      </c>
      <c r="K145" s="226" t="s">
        <v>1030</v>
      </c>
      <c r="L145" s="205" t="s">
        <v>794</v>
      </c>
      <c r="M145" s="225" t="s">
        <v>1164</v>
      </c>
      <c r="N145" s="206" t="s">
        <v>767</v>
      </c>
      <c r="O145" s="228"/>
      <c r="P145" s="228"/>
      <c r="Q145" s="229" t="s">
        <v>1152</v>
      </c>
    </row>
    <row r="146" spans="1:17">
      <c r="A146" s="203" t="s">
        <v>1165</v>
      </c>
      <c r="B146" s="223" t="s">
        <v>992</v>
      </c>
      <c r="C146" s="205" t="s">
        <v>775</v>
      </c>
      <c r="D146" s="225" t="s">
        <v>1025</v>
      </c>
      <c r="E146" s="206" t="s">
        <v>767</v>
      </c>
      <c r="F146" s="206" t="s">
        <v>788</v>
      </c>
      <c r="G146" s="226" t="s">
        <v>501</v>
      </c>
      <c r="H146" s="227" t="s">
        <v>1083</v>
      </c>
      <c r="I146" s="184"/>
      <c r="J146" s="204" t="s">
        <v>934</v>
      </c>
      <c r="K146" s="226" t="s">
        <v>1083</v>
      </c>
      <c r="L146" s="205" t="s">
        <v>794</v>
      </c>
      <c r="M146" s="225" t="s">
        <v>1166</v>
      </c>
      <c r="N146" s="206" t="s">
        <v>767</v>
      </c>
      <c r="O146" s="228"/>
      <c r="P146" s="228"/>
      <c r="Q146" s="229" t="s">
        <v>1152</v>
      </c>
    </row>
    <row r="147" spans="1:17">
      <c r="A147" s="203" t="s">
        <v>1167</v>
      </c>
      <c r="B147" s="223" t="s">
        <v>992</v>
      </c>
      <c r="C147" s="205" t="s">
        <v>775</v>
      </c>
      <c r="D147" s="225" t="s">
        <v>861</v>
      </c>
      <c r="E147" s="206" t="s">
        <v>767</v>
      </c>
      <c r="F147" s="206" t="s">
        <v>788</v>
      </c>
      <c r="G147" s="226" t="s">
        <v>501</v>
      </c>
      <c r="H147" s="227" t="s">
        <v>1085</v>
      </c>
      <c r="I147" s="184"/>
      <c r="J147" s="204" t="s">
        <v>934</v>
      </c>
      <c r="K147" s="226" t="s">
        <v>1085</v>
      </c>
      <c r="L147" s="205" t="s">
        <v>794</v>
      </c>
      <c r="M147" s="225" t="s">
        <v>1168</v>
      </c>
      <c r="N147" s="206" t="s">
        <v>767</v>
      </c>
      <c r="O147" s="228"/>
      <c r="P147" s="228"/>
      <c r="Q147" s="229" t="s">
        <v>1152</v>
      </c>
    </row>
    <row r="148" spans="1:17">
      <c r="A148" s="203" t="s">
        <v>1169</v>
      </c>
      <c r="B148" s="223" t="s">
        <v>992</v>
      </c>
      <c r="C148" s="205" t="s">
        <v>775</v>
      </c>
      <c r="D148" s="225" t="s">
        <v>1087</v>
      </c>
      <c r="E148" s="206" t="s">
        <v>767</v>
      </c>
      <c r="F148" s="206" t="s">
        <v>788</v>
      </c>
      <c r="G148" s="226" t="s">
        <v>501</v>
      </c>
      <c r="H148" s="227" t="s">
        <v>1088</v>
      </c>
      <c r="I148" s="184"/>
      <c r="J148" s="204" t="s">
        <v>934</v>
      </c>
      <c r="K148" s="226" t="s">
        <v>1088</v>
      </c>
      <c r="L148" s="205" t="s">
        <v>794</v>
      </c>
      <c r="M148" s="225" t="s">
        <v>1170</v>
      </c>
      <c r="N148" s="206" t="s">
        <v>767</v>
      </c>
      <c r="O148" s="228"/>
      <c r="P148" s="228"/>
      <c r="Q148" s="229" t="s">
        <v>1152</v>
      </c>
    </row>
    <row r="149" spans="1:17">
      <c r="A149" s="203" t="s">
        <v>1171</v>
      </c>
      <c r="B149" s="223" t="s">
        <v>992</v>
      </c>
      <c r="C149" s="205" t="s">
        <v>775</v>
      </c>
      <c r="D149" s="225" t="s">
        <v>1091</v>
      </c>
      <c r="E149" s="206" t="s">
        <v>767</v>
      </c>
      <c r="F149" s="206" t="s">
        <v>788</v>
      </c>
      <c r="G149" s="226" t="s">
        <v>1172</v>
      </c>
      <c r="H149" s="227" t="s">
        <v>1092</v>
      </c>
      <c r="I149" s="184"/>
      <c r="J149" s="204" t="s">
        <v>934</v>
      </c>
      <c r="K149" s="226" t="s">
        <v>1092</v>
      </c>
      <c r="L149" s="205" t="s">
        <v>794</v>
      </c>
      <c r="M149" s="225" t="s">
        <v>1173</v>
      </c>
      <c r="N149" s="206" t="s">
        <v>767</v>
      </c>
      <c r="O149" s="228"/>
      <c r="P149" s="228"/>
      <c r="Q149" s="229" t="s">
        <v>1152</v>
      </c>
    </row>
    <row r="150" spans="1:17">
      <c r="A150" s="203" t="s">
        <v>1174</v>
      </c>
      <c r="B150" s="232" t="s">
        <v>1175</v>
      </c>
      <c r="C150" s="233" t="s">
        <v>1176</v>
      </c>
      <c r="D150" s="234" t="s">
        <v>1177</v>
      </c>
      <c r="E150" s="235" t="s">
        <v>767</v>
      </c>
      <c r="F150" s="235" t="s">
        <v>788</v>
      </c>
      <c r="G150" s="233" t="s">
        <v>1178</v>
      </c>
      <c r="H150" s="236" t="s">
        <v>1179</v>
      </c>
      <c r="I150" s="184"/>
      <c r="J150" s="232" t="s">
        <v>1180</v>
      </c>
      <c r="K150" s="237" t="s">
        <v>1179</v>
      </c>
      <c r="L150" s="238" t="s">
        <v>1176</v>
      </c>
      <c r="M150" s="235" t="s">
        <v>1177</v>
      </c>
      <c r="N150" s="235" t="s">
        <v>767</v>
      </c>
      <c r="O150" s="239"/>
      <c r="P150" s="239"/>
      <c r="Q150" s="240" t="s">
        <v>1181</v>
      </c>
    </row>
    <row r="151" spans="1:17">
      <c r="A151" s="203" t="s">
        <v>1182</v>
      </c>
      <c r="B151" s="232" t="s">
        <v>1175</v>
      </c>
      <c r="C151" s="233" t="s">
        <v>1176</v>
      </c>
      <c r="D151" s="234" t="s">
        <v>1183</v>
      </c>
      <c r="E151" s="235" t="s">
        <v>767</v>
      </c>
      <c r="F151" s="235" t="s">
        <v>788</v>
      </c>
      <c r="G151" s="233" t="s">
        <v>1178</v>
      </c>
      <c r="H151" s="236" t="s">
        <v>28</v>
      </c>
      <c r="I151" s="184"/>
      <c r="J151" s="232" t="s">
        <v>1180</v>
      </c>
      <c r="K151" s="237" t="s">
        <v>28</v>
      </c>
      <c r="L151" s="238" t="s">
        <v>1176</v>
      </c>
      <c r="M151" s="235" t="s">
        <v>1183</v>
      </c>
      <c r="N151" s="235" t="s">
        <v>767</v>
      </c>
      <c r="O151" s="239"/>
      <c r="P151" s="239"/>
      <c r="Q151" s="240" t="s">
        <v>1181</v>
      </c>
    </row>
    <row r="152" spans="1:17">
      <c r="A152" s="203" t="s">
        <v>1184</v>
      </c>
      <c r="B152" s="232" t="s">
        <v>1175</v>
      </c>
      <c r="C152" s="233" t="s">
        <v>1176</v>
      </c>
      <c r="D152" s="234" t="s">
        <v>1185</v>
      </c>
      <c r="E152" s="235" t="s">
        <v>767</v>
      </c>
      <c r="F152" s="235" t="s">
        <v>788</v>
      </c>
      <c r="G152" s="233" t="s">
        <v>1178</v>
      </c>
      <c r="H152" s="236" t="s">
        <v>7</v>
      </c>
      <c r="I152" s="184"/>
      <c r="J152" s="232" t="s">
        <v>1180</v>
      </c>
      <c r="K152" s="237" t="s">
        <v>7</v>
      </c>
      <c r="L152" s="238" t="s">
        <v>1176</v>
      </c>
      <c r="M152" s="235" t="s">
        <v>1185</v>
      </c>
      <c r="N152" s="235" t="s">
        <v>767</v>
      </c>
      <c r="O152" s="239"/>
      <c r="P152" s="239"/>
      <c r="Q152" s="240" t="s">
        <v>1181</v>
      </c>
    </row>
    <row r="153" spans="1:17">
      <c r="A153" s="203" t="s">
        <v>1186</v>
      </c>
      <c r="B153" s="232" t="s">
        <v>1175</v>
      </c>
      <c r="C153" s="233" t="s">
        <v>1176</v>
      </c>
      <c r="D153" s="234" t="s">
        <v>1187</v>
      </c>
      <c r="E153" s="235" t="s">
        <v>767</v>
      </c>
      <c r="F153" s="235" t="s">
        <v>788</v>
      </c>
      <c r="G153" s="233" t="s">
        <v>1178</v>
      </c>
      <c r="H153" s="236" t="s">
        <v>16</v>
      </c>
      <c r="I153" s="184"/>
      <c r="J153" s="232" t="s">
        <v>1175</v>
      </c>
      <c r="K153" s="237" t="s">
        <v>16</v>
      </c>
      <c r="L153" s="238" t="s">
        <v>1176</v>
      </c>
      <c r="M153" s="235" t="s">
        <v>1187</v>
      </c>
      <c r="N153" s="235" t="s">
        <v>767</v>
      </c>
      <c r="O153" s="239"/>
      <c r="P153" s="239"/>
      <c r="Q153" s="240" t="s">
        <v>1181</v>
      </c>
    </row>
    <row r="154" spans="1:17">
      <c r="A154" s="203" t="s">
        <v>1188</v>
      </c>
      <c r="B154" s="232" t="s">
        <v>1175</v>
      </c>
      <c r="C154" s="233" t="s">
        <v>1176</v>
      </c>
      <c r="D154" s="234" t="s">
        <v>1189</v>
      </c>
      <c r="E154" s="235" t="s">
        <v>767</v>
      </c>
      <c r="F154" s="235" t="s">
        <v>788</v>
      </c>
      <c r="G154" s="233" t="s">
        <v>1178</v>
      </c>
      <c r="H154" s="236" t="s">
        <v>1190</v>
      </c>
      <c r="I154" s="184"/>
      <c r="J154" s="232" t="s">
        <v>1180</v>
      </c>
      <c r="K154" s="237" t="s">
        <v>1190</v>
      </c>
      <c r="L154" s="238" t="s">
        <v>1176</v>
      </c>
      <c r="M154" s="235" t="s">
        <v>1189</v>
      </c>
      <c r="N154" s="235" t="s">
        <v>767</v>
      </c>
      <c r="O154" s="239"/>
      <c r="P154" s="239"/>
      <c r="Q154" s="240" t="s">
        <v>1181</v>
      </c>
    </row>
    <row r="155" spans="1:17">
      <c r="A155" s="203" t="s">
        <v>1191</v>
      </c>
      <c r="B155" s="232" t="s">
        <v>1175</v>
      </c>
      <c r="C155" s="233" t="s">
        <v>1176</v>
      </c>
      <c r="D155" s="234" t="s">
        <v>1192</v>
      </c>
      <c r="E155" s="235" t="s">
        <v>767</v>
      </c>
      <c r="F155" s="235" t="s">
        <v>788</v>
      </c>
      <c r="G155" s="233" t="s">
        <v>1178</v>
      </c>
      <c r="H155" s="236" t="s">
        <v>17</v>
      </c>
      <c r="I155" s="184"/>
      <c r="J155" s="232" t="s">
        <v>1193</v>
      </c>
      <c r="K155" s="237" t="s">
        <v>17</v>
      </c>
      <c r="L155" s="238" t="s">
        <v>1176</v>
      </c>
      <c r="M155" s="235" t="s">
        <v>1192</v>
      </c>
      <c r="N155" s="235" t="s">
        <v>767</v>
      </c>
      <c r="O155" s="239"/>
      <c r="P155" s="239"/>
      <c r="Q155" s="240" t="s">
        <v>1181</v>
      </c>
    </row>
    <row r="156" spans="1:17">
      <c r="A156" s="203" t="s">
        <v>1194</v>
      </c>
      <c r="B156" s="232" t="s">
        <v>1175</v>
      </c>
      <c r="C156" s="233" t="s">
        <v>1176</v>
      </c>
      <c r="D156" s="234" t="s">
        <v>1195</v>
      </c>
      <c r="E156" s="235" t="s">
        <v>767</v>
      </c>
      <c r="F156" s="235" t="s">
        <v>788</v>
      </c>
      <c r="G156" s="233" t="s">
        <v>1196</v>
      </c>
      <c r="H156" s="236" t="s">
        <v>1197</v>
      </c>
      <c r="I156" s="184"/>
      <c r="J156" s="232" t="s">
        <v>1180</v>
      </c>
      <c r="K156" s="237" t="s">
        <v>1197</v>
      </c>
      <c r="L156" s="238" t="s">
        <v>1176</v>
      </c>
      <c r="M156" s="235" t="s">
        <v>1195</v>
      </c>
      <c r="N156" s="235" t="s">
        <v>767</v>
      </c>
      <c r="O156" s="239"/>
      <c r="P156" s="239"/>
      <c r="Q156" s="240" t="s">
        <v>1198</v>
      </c>
    </row>
    <row r="157" spans="1:17">
      <c r="A157" s="203" t="s">
        <v>1199</v>
      </c>
      <c r="B157" s="232" t="s">
        <v>1175</v>
      </c>
      <c r="C157" s="233" t="s">
        <v>1176</v>
      </c>
      <c r="D157" s="234" t="s">
        <v>1200</v>
      </c>
      <c r="E157" s="235" t="s">
        <v>767</v>
      </c>
      <c r="F157" s="235" t="s">
        <v>788</v>
      </c>
      <c r="G157" s="233" t="s">
        <v>1196</v>
      </c>
      <c r="H157" s="236" t="s">
        <v>1201</v>
      </c>
      <c r="I157" s="184"/>
      <c r="J157" s="232" t="s">
        <v>1180</v>
      </c>
      <c r="K157" s="237" t="s">
        <v>1201</v>
      </c>
      <c r="L157" s="238" t="s">
        <v>1176</v>
      </c>
      <c r="M157" s="235" t="s">
        <v>1200</v>
      </c>
      <c r="N157" s="235" t="s">
        <v>767</v>
      </c>
      <c r="O157" s="239"/>
      <c r="P157" s="239"/>
      <c r="Q157" s="240" t="s">
        <v>1198</v>
      </c>
    </row>
    <row r="158" spans="1:17">
      <c r="A158" s="203" t="s">
        <v>1202</v>
      </c>
      <c r="B158" s="232" t="s">
        <v>1175</v>
      </c>
      <c r="C158" s="233" t="s">
        <v>1176</v>
      </c>
      <c r="D158" s="234" t="s">
        <v>1203</v>
      </c>
      <c r="E158" s="235" t="s">
        <v>767</v>
      </c>
      <c r="F158" s="235" t="s">
        <v>788</v>
      </c>
      <c r="G158" s="233" t="s">
        <v>1196</v>
      </c>
      <c r="H158" s="236" t="s">
        <v>1204</v>
      </c>
      <c r="I158" s="184"/>
      <c r="J158" s="232" t="s">
        <v>1180</v>
      </c>
      <c r="K158" s="237" t="s">
        <v>1204</v>
      </c>
      <c r="L158" s="238" t="s">
        <v>1176</v>
      </c>
      <c r="M158" s="235" t="s">
        <v>1203</v>
      </c>
      <c r="N158" s="235" t="s">
        <v>767</v>
      </c>
      <c r="O158" s="239"/>
      <c r="P158" s="239"/>
      <c r="Q158" s="240" t="s">
        <v>1198</v>
      </c>
    </row>
    <row r="159" spans="1:17">
      <c r="A159" s="203" t="s">
        <v>1205</v>
      </c>
      <c r="B159" s="232" t="s">
        <v>1175</v>
      </c>
      <c r="C159" s="233" t="s">
        <v>1176</v>
      </c>
      <c r="D159" s="234" t="s">
        <v>1206</v>
      </c>
      <c r="E159" s="235" t="s">
        <v>767</v>
      </c>
      <c r="F159" s="235" t="s">
        <v>788</v>
      </c>
      <c r="G159" s="233" t="s">
        <v>1196</v>
      </c>
      <c r="H159" s="236" t="s">
        <v>16</v>
      </c>
      <c r="I159" s="184"/>
      <c r="J159" s="232" t="s">
        <v>1175</v>
      </c>
      <c r="K159" s="237" t="s">
        <v>16</v>
      </c>
      <c r="L159" s="238" t="s">
        <v>1176</v>
      </c>
      <c r="M159" s="235" t="s">
        <v>1206</v>
      </c>
      <c r="N159" s="235" t="s">
        <v>767</v>
      </c>
      <c r="O159" s="239"/>
      <c r="P159" s="239"/>
      <c r="Q159" s="240" t="s">
        <v>1198</v>
      </c>
    </row>
    <row r="160" spans="1:17">
      <c r="A160" s="203" t="s">
        <v>1207</v>
      </c>
      <c r="B160" s="232" t="s">
        <v>1175</v>
      </c>
      <c r="C160" s="233" t="s">
        <v>1176</v>
      </c>
      <c r="D160" s="234" t="s">
        <v>1208</v>
      </c>
      <c r="E160" s="235" t="s">
        <v>767</v>
      </c>
      <c r="F160" s="235" t="s">
        <v>788</v>
      </c>
      <c r="G160" s="233" t="s">
        <v>1196</v>
      </c>
      <c r="H160" s="236" t="s">
        <v>1190</v>
      </c>
      <c r="I160" s="184"/>
      <c r="J160" s="232" t="s">
        <v>1180</v>
      </c>
      <c r="K160" s="237" t="s">
        <v>1190</v>
      </c>
      <c r="L160" s="238" t="s">
        <v>1176</v>
      </c>
      <c r="M160" s="235" t="s">
        <v>1208</v>
      </c>
      <c r="N160" s="235" t="s">
        <v>767</v>
      </c>
      <c r="O160" s="239"/>
      <c r="P160" s="239"/>
      <c r="Q160" s="240" t="s">
        <v>1198</v>
      </c>
    </row>
    <row r="161" spans="1:17">
      <c r="A161" s="203" t="s">
        <v>1209</v>
      </c>
      <c r="B161" s="232" t="s">
        <v>1175</v>
      </c>
      <c r="C161" s="233" t="s">
        <v>1176</v>
      </c>
      <c r="D161" s="234" t="s">
        <v>1210</v>
      </c>
      <c r="E161" s="235" t="s">
        <v>767</v>
      </c>
      <c r="F161" s="235" t="s">
        <v>788</v>
      </c>
      <c r="G161" s="233" t="s">
        <v>1196</v>
      </c>
      <c r="H161" s="236" t="s">
        <v>17</v>
      </c>
      <c r="I161" s="184"/>
      <c r="J161" s="232" t="s">
        <v>1193</v>
      </c>
      <c r="K161" s="237" t="s">
        <v>17</v>
      </c>
      <c r="L161" s="238" t="s">
        <v>1176</v>
      </c>
      <c r="M161" s="235" t="s">
        <v>1210</v>
      </c>
      <c r="N161" s="235" t="s">
        <v>767</v>
      </c>
      <c r="O161" s="239"/>
      <c r="P161" s="239"/>
      <c r="Q161" s="240" t="s">
        <v>1198</v>
      </c>
    </row>
    <row r="162" spans="1:17">
      <c r="A162" s="203" t="s">
        <v>1211</v>
      </c>
      <c r="B162" s="232" t="s">
        <v>1175</v>
      </c>
      <c r="C162" s="233" t="s">
        <v>1176</v>
      </c>
      <c r="D162" s="234" t="s">
        <v>1212</v>
      </c>
      <c r="E162" s="235" t="s">
        <v>767</v>
      </c>
      <c r="F162" s="235" t="s">
        <v>788</v>
      </c>
      <c r="G162" s="233" t="s">
        <v>1196</v>
      </c>
      <c r="H162" s="236" t="s">
        <v>28</v>
      </c>
      <c r="I162" s="184"/>
      <c r="J162" s="232" t="s">
        <v>1180</v>
      </c>
      <c r="K162" s="237" t="s">
        <v>28</v>
      </c>
      <c r="L162" s="238" t="s">
        <v>1176</v>
      </c>
      <c r="M162" s="235" t="s">
        <v>1212</v>
      </c>
      <c r="N162" s="235" t="s">
        <v>767</v>
      </c>
      <c r="O162" s="239"/>
      <c r="P162" s="239"/>
      <c r="Q162" s="240" t="s">
        <v>1198</v>
      </c>
    </row>
    <row r="163" spans="1:17">
      <c r="A163" s="203" t="s">
        <v>1213</v>
      </c>
      <c r="B163" s="232" t="s">
        <v>1175</v>
      </c>
      <c r="C163" s="233" t="s">
        <v>1176</v>
      </c>
      <c r="D163" s="234" t="s">
        <v>1214</v>
      </c>
      <c r="E163" s="235" t="s">
        <v>767</v>
      </c>
      <c r="F163" s="235" t="s">
        <v>788</v>
      </c>
      <c r="G163" s="233" t="s">
        <v>1196</v>
      </c>
      <c r="H163" s="236" t="s">
        <v>7</v>
      </c>
      <c r="I163" s="184"/>
      <c r="J163" s="232" t="s">
        <v>1180</v>
      </c>
      <c r="K163" s="237" t="s">
        <v>7</v>
      </c>
      <c r="L163" s="238" t="s">
        <v>1176</v>
      </c>
      <c r="M163" s="235" t="s">
        <v>1214</v>
      </c>
      <c r="N163" s="235" t="s">
        <v>767</v>
      </c>
      <c r="O163" s="239"/>
      <c r="P163" s="239"/>
      <c r="Q163" s="240" t="s">
        <v>1198</v>
      </c>
    </row>
    <row r="164" spans="1:17">
      <c r="A164" s="203" t="s">
        <v>1215</v>
      </c>
      <c r="B164" s="232" t="s">
        <v>1175</v>
      </c>
      <c r="C164" s="233" t="s">
        <v>1216</v>
      </c>
      <c r="D164" s="235" t="s">
        <v>1217</v>
      </c>
      <c r="E164" s="235">
        <v>8</v>
      </c>
      <c r="F164" s="235" t="s">
        <v>788</v>
      </c>
      <c r="G164" s="233" t="s">
        <v>1218</v>
      </c>
      <c r="H164" s="236" t="s">
        <v>81</v>
      </c>
      <c r="I164" s="184"/>
      <c r="J164" s="232" t="s">
        <v>1180</v>
      </c>
      <c r="K164" s="237" t="s">
        <v>81</v>
      </c>
      <c r="L164" s="238" t="s">
        <v>1216</v>
      </c>
      <c r="M164" s="235" t="s">
        <v>1217</v>
      </c>
      <c r="N164" s="235">
        <v>8</v>
      </c>
      <c r="O164" s="239" t="s">
        <v>1219</v>
      </c>
      <c r="P164" s="239"/>
      <c r="Q164" s="240" t="s">
        <v>1218</v>
      </c>
    </row>
    <row r="165" spans="1:17" ht="28.5">
      <c r="A165" s="203" t="s">
        <v>1220</v>
      </c>
      <c r="B165" s="232" t="s">
        <v>1221</v>
      </c>
      <c r="C165" s="233" t="s">
        <v>1216</v>
      </c>
      <c r="D165" s="235" t="s">
        <v>1217</v>
      </c>
      <c r="E165" s="235" t="s">
        <v>1222</v>
      </c>
      <c r="F165" s="235" t="s">
        <v>788</v>
      </c>
      <c r="G165" s="233" t="s">
        <v>1218</v>
      </c>
      <c r="H165" s="236" t="s">
        <v>1223</v>
      </c>
      <c r="I165" s="184"/>
      <c r="J165" s="232" t="s">
        <v>1180</v>
      </c>
      <c r="K165" s="237" t="s">
        <v>1223</v>
      </c>
      <c r="L165" s="238" t="s">
        <v>1216</v>
      </c>
      <c r="M165" s="235" t="s">
        <v>1217</v>
      </c>
      <c r="N165" s="235" t="s">
        <v>1222</v>
      </c>
      <c r="O165" s="241" t="s">
        <v>1224</v>
      </c>
      <c r="P165" s="239"/>
      <c r="Q165" s="240" t="s">
        <v>1218</v>
      </c>
    </row>
    <row r="166" spans="1:17">
      <c r="A166" s="203"/>
      <c r="B166" s="223"/>
      <c r="C166" s="226"/>
      <c r="D166" s="225"/>
      <c r="E166" s="225"/>
      <c r="F166" s="225"/>
      <c r="G166" s="226"/>
      <c r="H166" s="227"/>
      <c r="I166" s="184"/>
      <c r="J166" s="223"/>
      <c r="K166" s="226"/>
      <c r="L166" s="226"/>
      <c r="M166" s="225"/>
      <c r="N166" s="225"/>
      <c r="O166" s="228"/>
      <c r="P166" s="228"/>
      <c r="Q166" s="229"/>
    </row>
    <row r="167" spans="1:17">
      <c r="A167" s="203"/>
      <c r="B167" s="223"/>
      <c r="C167" s="226"/>
      <c r="D167" s="225"/>
      <c r="E167" s="225"/>
      <c r="F167" s="225"/>
      <c r="G167" s="226"/>
      <c r="H167" s="227"/>
      <c r="I167" s="184"/>
      <c r="J167" s="223"/>
      <c r="K167" s="226"/>
      <c r="L167" s="226"/>
      <c r="M167" s="225"/>
      <c r="N167" s="225"/>
      <c r="O167" s="228"/>
      <c r="P167" s="228"/>
      <c r="Q167" s="229"/>
    </row>
    <row r="168" spans="1:17">
      <c r="A168" s="203"/>
      <c r="B168" s="223"/>
      <c r="C168" s="226"/>
      <c r="D168" s="225"/>
      <c r="E168" s="225"/>
      <c r="F168" s="225"/>
      <c r="G168" s="226"/>
      <c r="H168" s="227"/>
      <c r="I168" s="184"/>
      <c r="J168" s="223"/>
      <c r="K168" s="226"/>
      <c r="L168" s="226"/>
      <c r="M168" s="225"/>
      <c r="N168" s="225"/>
      <c r="O168" s="228"/>
      <c r="P168" s="228"/>
      <c r="Q168" s="229"/>
    </row>
    <row r="169" spans="1:17">
      <c r="A169" s="203"/>
      <c r="B169" s="223"/>
      <c r="C169" s="226"/>
      <c r="D169" s="225"/>
      <c r="E169" s="225"/>
      <c r="F169" s="225"/>
      <c r="G169" s="226"/>
      <c r="H169" s="227"/>
      <c r="I169" s="184"/>
      <c r="J169" s="223"/>
      <c r="K169" s="226"/>
      <c r="L169" s="226"/>
      <c r="M169" s="225"/>
      <c r="N169" s="225"/>
      <c r="O169" s="228"/>
      <c r="P169" s="228"/>
      <c r="Q169" s="229"/>
    </row>
    <row r="170" spans="1:17">
      <c r="A170" s="203"/>
      <c r="B170" s="223"/>
      <c r="C170" s="226"/>
      <c r="D170" s="225"/>
      <c r="E170" s="225"/>
      <c r="F170" s="225"/>
      <c r="G170" s="226"/>
      <c r="H170" s="227"/>
      <c r="I170" s="184"/>
      <c r="J170" s="223"/>
      <c r="K170" s="226"/>
      <c r="L170" s="226"/>
      <c r="M170" s="225"/>
      <c r="N170" s="225"/>
      <c r="O170" s="228"/>
      <c r="P170" s="228"/>
      <c r="Q170" s="229"/>
    </row>
    <row r="171" spans="1:17">
      <c r="A171" s="203"/>
      <c r="B171" s="223"/>
      <c r="C171" s="226"/>
      <c r="D171" s="225"/>
      <c r="E171" s="225"/>
      <c r="F171" s="225"/>
      <c r="G171" s="226"/>
      <c r="H171" s="227"/>
      <c r="I171" s="184"/>
      <c r="J171" s="223"/>
      <c r="K171" s="226"/>
      <c r="L171" s="226"/>
      <c r="M171" s="225"/>
      <c r="N171" s="225"/>
      <c r="O171" s="228"/>
      <c r="P171" s="228"/>
      <c r="Q171" s="229"/>
    </row>
    <row r="172" spans="1:17">
      <c r="A172" s="203"/>
      <c r="B172" s="223"/>
      <c r="C172" s="226"/>
      <c r="D172" s="225"/>
      <c r="E172" s="225"/>
      <c r="F172" s="225"/>
      <c r="G172" s="226"/>
      <c r="H172" s="227"/>
      <c r="I172" s="184"/>
      <c r="J172" s="223"/>
      <c r="K172" s="226"/>
      <c r="L172" s="226"/>
      <c r="M172" s="225"/>
      <c r="N172" s="225"/>
      <c r="O172" s="228"/>
      <c r="P172" s="228"/>
      <c r="Q172" s="229"/>
    </row>
    <row r="173" spans="1:17">
      <c r="A173" s="203"/>
      <c r="B173" s="223"/>
      <c r="C173" s="226"/>
      <c r="D173" s="225"/>
      <c r="E173" s="225"/>
      <c r="F173" s="225"/>
      <c r="G173" s="226"/>
      <c r="H173" s="227"/>
      <c r="I173" s="184"/>
      <c r="J173" s="223"/>
      <c r="K173" s="226"/>
      <c r="L173" s="226"/>
      <c r="M173" s="225"/>
      <c r="N173" s="225"/>
      <c r="O173" s="228"/>
      <c r="P173" s="228"/>
      <c r="Q173" s="229"/>
    </row>
    <row r="174" spans="1:17">
      <c r="A174" s="203"/>
      <c r="B174" s="223"/>
      <c r="C174" s="226"/>
      <c r="D174" s="225"/>
      <c r="E174" s="225"/>
      <c r="F174" s="225"/>
      <c r="G174" s="226"/>
      <c r="H174" s="227"/>
      <c r="I174" s="184"/>
      <c r="J174" s="223"/>
      <c r="K174" s="226"/>
      <c r="L174" s="226"/>
      <c r="M174" s="225"/>
      <c r="N174" s="225"/>
      <c r="O174" s="228"/>
      <c r="P174" s="228"/>
      <c r="Q174" s="229"/>
    </row>
    <row r="175" spans="1:17">
      <c r="A175" s="203"/>
      <c r="B175" s="223"/>
      <c r="C175" s="226"/>
      <c r="D175" s="225"/>
      <c r="E175" s="225"/>
      <c r="F175" s="225"/>
      <c r="G175" s="226"/>
      <c r="H175" s="227"/>
      <c r="I175" s="184"/>
      <c r="J175" s="223"/>
      <c r="K175" s="226"/>
      <c r="L175" s="226"/>
      <c r="M175" s="225"/>
      <c r="N175" s="225"/>
      <c r="O175" s="228"/>
      <c r="P175" s="228"/>
      <c r="Q175" s="229"/>
    </row>
    <row r="176" spans="1:17">
      <c r="A176" s="203"/>
      <c r="B176" s="223"/>
      <c r="C176" s="226"/>
      <c r="D176" s="225"/>
      <c r="E176" s="225"/>
      <c r="F176" s="225"/>
      <c r="G176" s="226"/>
      <c r="H176" s="227"/>
      <c r="I176" s="184"/>
      <c r="J176" s="223"/>
      <c r="K176" s="226"/>
      <c r="L176" s="226"/>
      <c r="M176" s="225"/>
      <c r="N176" s="225"/>
      <c r="O176" s="228"/>
      <c r="P176" s="228"/>
      <c r="Q176" s="229"/>
    </row>
    <row r="177" spans="1:17">
      <c r="A177" s="203"/>
      <c r="B177" s="223"/>
      <c r="C177" s="226"/>
      <c r="D177" s="225"/>
      <c r="E177" s="225"/>
      <c r="F177" s="225"/>
      <c r="G177" s="226"/>
      <c r="H177" s="227"/>
      <c r="I177" s="184"/>
      <c r="J177" s="223"/>
      <c r="K177" s="226"/>
      <c r="L177" s="226"/>
      <c r="M177" s="225"/>
      <c r="N177" s="225"/>
      <c r="O177" s="228"/>
      <c r="P177" s="228"/>
      <c r="Q177" s="229"/>
    </row>
    <row r="178" spans="1:17">
      <c r="A178" s="203"/>
      <c r="B178" s="223"/>
      <c r="C178" s="226"/>
      <c r="D178" s="225"/>
      <c r="E178" s="225"/>
      <c r="F178" s="225"/>
      <c r="G178" s="226"/>
      <c r="H178" s="227"/>
      <c r="I178" s="184"/>
      <c r="J178" s="223"/>
      <c r="K178" s="226"/>
      <c r="L178" s="226"/>
      <c r="M178" s="225"/>
      <c r="N178" s="225"/>
      <c r="O178" s="228"/>
      <c r="P178" s="228"/>
      <c r="Q178" s="229"/>
    </row>
    <row r="179" spans="1:17">
      <c r="A179" s="203"/>
      <c r="B179" s="223"/>
      <c r="C179" s="226"/>
      <c r="D179" s="225"/>
      <c r="E179" s="225"/>
      <c r="F179" s="225"/>
      <c r="G179" s="226"/>
      <c r="H179" s="227"/>
      <c r="I179" s="184"/>
      <c r="J179" s="223"/>
      <c r="K179" s="226"/>
      <c r="L179" s="226"/>
      <c r="M179" s="225"/>
      <c r="N179" s="225"/>
      <c r="O179" s="228"/>
      <c r="P179" s="228"/>
      <c r="Q179" s="229"/>
    </row>
    <row r="180" spans="1:17">
      <c r="A180" s="203"/>
      <c r="B180" s="223"/>
      <c r="C180" s="226"/>
      <c r="D180" s="225"/>
      <c r="E180" s="225"/>
      <c r="F180" s="225"/>
      <c r="G180" s="226"/>
      <c r="H180" s="227"/>
      <c r="I180" s="184"/>
      <c r="J180" s="223"/>
      <c r="K180" s="226"/>
      <c r="L180" s="226"/>
      <c r="M180" s="225"/>
      <c r="N180" s="225"/>
      <c r="O180" s="228"/>
      <c r="P180" s="228"/>
      <c r="Q180" s="229"/>
    </row>
    <row r="181" spans="1:17">
      <c r="A181" s="203"/>
      <c r="B181" s="223"/>
      <c r="C181" s="226"/>
      <c r="D181" s="225"/>
      <c r="E181" s="225"/>
      <c r="F181" s="225"/>
      <c r="G181" s="226"/>
      <c r="H181" s="227"/>
      <c r="I181" s="184"/>
      <c r="J181" s="223"/>
      <c r="K181" s="226"/>
      <c r="L181" s="226"/>
      <c r="M181" s="225"/>
      <c r="N181" s="225"/>
      <c r="O181" s="228"/>
      <c r="P181" s="228"/>
      <c r="Q181" s="229"/>
    </row>
    <row r="182" spans="1:17">
      <c r="A182" s="203"/>
      <c r="B182" s="223"/>
      <c r="C182" s="226"/>
      <c r="D182" s="225"/>
      <c r="E182" s="225"/>
      <c r="F182" s="225"/>
      <c r="G182" s="226"/>
      <c r="H182" s="227"/>
      <c r="I182" s="184"/>
      <c r="J182" s="223"/>
      <c r="K182" s="226"/>
      <c r="L182" s="226"/>
      <c r="M182" s="225"/>
      <c r="N182" s="225"/>
      <c r="O182" s="228"/>
      <c r="P182" s="228"/>
      <c r="Q182" s="229"/>
    </row>
    <row r="183" spans="1:17">
      <c r="A183" s="203"/>
      <c r="B183" s="223"/>
      <c r="C183" s="226"/>
      <c r="D183" s="225"/>
      <c r="E183" s="225"/>
      <c r="F183" s="225"/>
      <c r="G183" s="226"/>
      <c r="H183" s="227"/>
      <c r="I183" s="184"/>
      <c r="J183" s="223"/>
      <c r="K183" s="226"/>
      <c r="L183" s="226"/>
      <c r="M183" s="225"/>
      <c r="N183" s="225"/>
      <c r="O183" s="228"/>
      <c r="P183" s="228"/>
      <c r="Q183" s="229"/>
    </row>
    <row r="184" spans="1:17">
      <c r="A184" s="203"/>
      <c r="B184" s="223"/>
      <c r="C184" s="226"/>
      <c r="D184" s="225"/>
      <c r="E184" s="225"/>
      <c r="F184" s="225"/>
      <c r="G184" s="226"/>
      <c r="H184" s="227"/>
      <c r="I184" s="184"/>
      <c r="J184" s="223"/>
      <c r="K184" s="226"/>
      <c r="L184" s="226"/>
      <c r="M184" s="225"/>
      <c r="N184" s="225"/>
      <c r="O184" s="228"/>
      <c r="P184" s="228"/>
      <c r="Q184" s="229"/>
    </row>
    <row r="185" spans="1:17">
      <c r="A185" s="203"/>
      <c r="B185" s="223"/>
      <c r="C185" s="226"/>
      <c r="D185" s="225"/>
      <c r="E185" s="225"/>
      <c r="F185" s="225"/>
      <c r="G185" s="226"/>
      <c r="H185" s="227"/>
      <c r="I185" s="184"/>
      <c r="J185" s="223"/>
      <c r="K185" s="226"/>
      <c r="L185" s="226"/>
      <c r="M185" s="225"/>
      <c r="N185" s="225"/>
      <c r="O185" s="228"/>
      <c r="P185" s="228"/>
      <c r="Q185" s="229"/>
    </row>
    <row r="186" spans="1:17">
      <c r="A186" s="203"/>
      <c r="B186" s="223"/>
      <c r="C186" s="226"/>
      <c r="D186" s="225"/>
      <c r="E186" s="225"/>
      <c r="F186" s="225"/>
      <c r="G186" s="226"/>
      <c r="H186" s="227"/>
      <c r="I186" s="184"/>
      <c r="J186" s="223"/>
      <c r="K186" s="226"/>
      <c r="L186" s="226"/>
      <c r="M186" s="225"/>
      <c r="N186" s="225"/>
      <c r="O186" s="228"/>
      <c r="P186" s="228"/>
      <c r="Q186" s="229"/>
    </row>
    <row r="187" spans="1:17">
      <c r="A187" s="203"/>
      <c r="B187" s="223"/>
      <c r="C187" s="226"/>
      <c r="D187" s="225"/>
      <c r="E187" s="225"/>
      <c r="F187" s="225"/>
      <c r="G187" s="226"/>
      <c r="H187" s="227"/>
      <c r="I187" s="184"/>
      <c r="J187" s="223"/>
      <c r="K187" s="226"/>
      <c r="L187" s="226"/>
      <c r="M187" s="225"/>
      <c r="N187" s="225"/>
      <c r="O187" s="228"/>
      <c r="P187" s="228"/>
      <c r="Q187" s="229"/>
    </row>
    <row r="188" spans="1:17">
      <c r="A188" s="203"/>
      <c r="B188" s="223"/>
      <c r="C188" s="226"/>
      <c r="D188" s="225"/>
      <c r="E188" s="225"/>
      <c r="F188" s="225"/>
      <c r="G188" s="226"/>
      <c r="H188" s="227"/>
      <c r="I188" s="184"/>
      <c r="J188" s="223"/>
      <c r="K188" s="226"/>
      <c r="L188" s="226"/>
      <c r="M188" s="225"/>
      <c r="N188" s="225"/>
      <c r="O188" s="228"/>
      <c r="P188" s="228"/>
      <c r="Q188" s="229"/>
    </row>
    <row r="189" spans="1:17">
      <c r="A189" s="203"/>
      <c r="B189" s="223"/>
      <c r="C189" s="226"/>
      <c r="D189" s="225"/>
      <c r="E189" s="225"/>
      <c r="F189" s="225"/>
      <c r="G189" s="226"/>
      <c r="H189" s="227"/>
      <c r="I189" s="184"/>
      <c r="J189" s="223"/>
      <c r="K189" s="226"/>
      <c r="L189" s="226"/>
      <c r="M189" s="225"/>
      <c r="N189" s="225"/>
      <c r="O189" s="228"/>
      <c r="P189" s="228"/>
      <c r="Q189" s="229"/>
    </row>
    <row r="190" spans="1:17">
      <c r="A190" s="203"/>
      <c r="B190" s="223"/>
      <c r="C190" s="226"/>
      <c r="D190" s="225"/>
      <c r="E190" s="225"/>
      <c r="F190" s="225"/>
      <c r="G190" s="226"/>
      <c r="H190" s="227"/>
      <c r="I190" s="184"/>
      <c r="J190" s="223"/>
      <c r="K190" s="226"/>
      <c r="L190" s="226"/>
      <c r="M190" s="225"/>
      <c r="N190" s="225"/>
      <c r="O190" s="228"/>
      <c r="P190" s="228"/>
      <c r="Q190" s="229"/>
    </row>
    <row r="191" spans="1:17">
      <c r="A191" s="203"/>
      <c r="B191" s="223"/>
      <c r="C191" s="226"/>
      <c r="D191" s="225"/>
      <c r="E191" s="225"/>
      <c r="F191" s="225"/>
      <c r="G191" s="226"/>
      <c r="H191" s="227"/>
      <c r="I191" s="184"/>
      <c r="J191" s="223"/>
      <c r="K191" s="226"/>
      <c r="L191" s="226"/>
      <c r="M191" s="225"/>
      <c r="N191" s="225"/>
      <c r="O191" s="228"/>
      <c r="P191" s="228"/>
      <c r="Q191" s="229"/>
    </row>
    <row r="192" spans="1:17">
      <c r="A192" s="203"/>
      <c r="B192" s="223"/>
      <c r="C192" s="226"/>
      <c r="D192" s="225"/>
      <c r="E192" s="225"/>
      <c r="F192" s="225"/>
      <c r="G192" s="226"/>
      <c r="H192" s="227"/>
      <c r="I192" s="184"/>
      <c r="J192" s="223"/>
      <c r="K192" s="226"/>
      <c r="L192" s="226"/>
      <c r="M192" s="225"/>
      <c r="N192" s="225"/>
      <c r="O192" s="228"/>
      <c r="P192" s="228"/>
      <c r="Q192" s="229"/>
    </row>
    <row r="193" spans="1:17">
      <c r="A193" s="203"/>
      <c r="B193" s="223"/>
      <c r="C193" s="226"/>
      <c r="D193" s="225"/>
      <c r="E193" s="225"/>
      <c r="F193" s="225"/>
      <c r="G193" s="226"/>
      <c r="H193" s="227"/>
      <c r="I193" s="184"/>
      <c r="J193" s="223"/>
      <c r="K193" s="226"/>
      <c r="L193" s="226"/>
      <c r="M193" s="225"/>
      <c r="N193" s="225"/>
      <c r="O193" s="228"/>
      <c r="P193" s="228"/>
      <c r="Q193" s="229"/>
    </row>
    <row r="194" spans="1:17">
      <c r="A194" s="203"/>
      <c r="B194" s="223"/>
      <c r="C194" s="226"/>
      <c r="D194" s="225"/>
      <c r="E194" s="225"/>
      <c r="F194" s="225"/>
      <c r="G194" s="226"/>
      <c r="H194" s="227"/>
      <c r="I194" s="184"/>
      <c r="J194" s="223"/>
      <c r="K194" s="226"/>
      <c r="L194" s="226"/>
      <c r="M194" s="225"/>
      <c r="N194" s="225"/>
      <c r="O194" s="228"/>
      <c r="P194" s="228"/>
      <c r="Q194" s="229"/>
    </row>
    <row r="195" spans="1:17">
      <c r="A195" s="203"/>
      <c r="B195" s="223"/>
      <c r="C195" s="226"/>
      <c r="D195" s="225"/>
      <c r="E195" s="225"/>
      <c r="F195" s="225"/>
      <c r="G195" s="226"/>
      <c r="H195" s="227"/>
      <c r="I195" s="184"/>
      <c r="J195" s="223"/>
      <c r="K195" s="226"/>
      <c r="L195" s="226"/>
      <c r="M195" s="225"/>
      <c r="N195" s="225"/>
      <c r="O195" s="228"/>
      <c r="P195" s="228"/>
      <c r="Q195" s="229"/>
    </row>
    <row r="196" spans="1:17">
      <c r="A196" s="203"/>
      <c r="B196" s="223"/>
      <c r="C196" s="226"/>
      <c r="D196" s="225"/>
      <c r="E196" s="225"/>
      <c r="F196" s="225"/>
      <c r="G196" s="226"/>
      <c r="H196" s="227"/>
      <c r="I196" s="184"/>
      <c r="J196" s="223"/>
      <c r="K196" s="226"/>
      <c r="L196" s="226"/>
      <c r="M196" s="225"/>
      <c r="N196" s="225"/>
      <c r="O196" s="228"/>
      <c r="P196" s="228"/>
      <c r="Q196" s="229"/>
    </row>
    <row r="197" spans="1:17">
      <c r="A197" s="203"/>
      <c r="B197" s="223"/>
      <c r="C197" s="226"/>
      <c r="D197" s="225"/>
      <c r="E197" s="225"/>
      <c r="F197" s="225"/>
      <c r="G197" s="226"/>
      <c r="H197" s="227"/>
      <c r="I197" s="184"/>
      <c r="J197" s="223"/>
      <c r="K197" s="226"/>
      <c r="L197" s="226"/>
      <c r="M197" s="225"/>
      <c r="N197" s="225"/>
      <c r="O197" s="228"/>
      <c r="P197" s="228"/>
      <c r="Q197" s="229"/>
    </row>
    <row r="198" spans="1:17">
      <c r="A198" s="203"/>
      <c r="B198" s="223"/>
      <c r="C198" s="226"/>
      <c r="D198" s="225"/>
      <c r="E198" s="225"/>
      <c r="F198" s="225"/>
      <c r="G198" s="226"/>
      <c r="H198" s="227"/>
      <c r="I198" s="184"/>
      <c r="J198" s="223"/>
      <c r="K198" s="226"/>
      <c r="L198" s="226"/>
      <c r="M198" s="225"/>
      <c r="N198" s="225"/>
      <c r="O198" s="228"/>
      <c r="P198" s="228"/>
      <c r="Q198" s="229"/>
    </row>
    <row r="199" spans="1:17">
      <c r="A199" s="203"/>
      <c r="B199" s="223"/>
      <c r="C199" s="226"/>
      <c r="D199" s="225"/>
      <c r="E199" s="225"/>
      <c r="F199" s="225"/>
      <c r="G199" s="226"/>
      <c r="H199" s="227"/>
      <c r="I199" s="184"/>
      <c r="J199" s="223"/>
      <c r="K199" s="226"/>
      <c r="L199" s="226"/>
      <c r="M199" s="225"/>
      <c r="N199" s="225"/>
      <c r="O199" s="228"/>
      <c r="P199" s="228"/>
      <c r="Q199" s="229"/>
    </row>
    <row r="200" spans="1:17">
      <c r="A200" s="203"/>
      <c r="B200" s="223"/>
      <c r="C200" s="226"/>
      <c r="D200" s="225"/>
      <c r="E200" s="225"/>
      <c r="F200" s="225"/>
      <c r="G200" s="226"/>
      <c r="H200" s="227"/>
      <c r="I200" s="184"/>
      <c r="J200" s="223"/>
      <c r="K200" s="226"/>
      <c r="L200" s="226"/>
      <c r="M200" s="225"/>
      <c r="N200" s="225"/>
      <c r="O200" s="228"/>
      <c r="P200" s="228"/>
      <c r="Q200" s="229"/>
    </row>
    <row r="201" spans="1:17">
      <c r="A201" s="203"/>
      <c r="B201" s="223"/>
      <c r="C201" s="226"/>
      <c r="D201" s="225"/>
      <c r="E201" s="225"/>
      <c r="F201" s="225"/>
      <c r="G201" s="226"/>
      <c r="H201" s="227"/>
      <c r="I201" s="184"/>
      <c r="J201" s="223"/>
      <c r="K201" s="226"/>
      <c r="L201" s="226"/>
      <c r="M201" s="225"/>
      <c r="N201" s="225"/>
      <c r="O201" s="228"/>
      <c r="P201" s="228"/>
      <c r="Q201" s="229"/>
    </row>
    <row r="202" spans="1:17">
      <c r="A202" s="203"/>
      <c r="B202" s="223"/>
      <c r="C202" s="226"/>
      <c r="D202" s="225"/>
      <c r="E202" s="225"/>
      <c r="F202" s="225"/>
      <c r="G202" s="226"/>
      <c r="H202" s="227"/>
      <c r="I202" s="184"/>
      <c r="J202" s="223"/>
      <c r="K202" s="226"/>
      <c r="L202" s="226"/>
      <c r="M202" s="225"/>
      <c r="N202" s="225"/>
      <c r="O202" s="228"/>
      <c r="P202" s="228"/>
      <c r="Q202" s="229"/>
    </row>
    <row r="203" spans="1:17">
      <c r="A203" s="203"/>
      <c r="B203" s="223"/>
      <c r="C203" s="226"/>
      <c r="D203" s="225"/>
      <c r="E203" s="225"/>
      <c r="F203" s="225"/>
      <c r="G203" s="226"/>
      <c r="H203" s="227"/>
      <c r="I203" s="184"/>
      <c r="J203" s="223"/>
      <c r="K203" s="226"/>
      <c r="L203" s="226"/>
      <c r="M203" s="225"/>
      <c r="N203" s="225"/>
      <c r="O203" s="228"/>
      <c r="P203" s="228"/>
      <c r="Q203" s="229"/>
    </row>
    <row r="204" spans="1:17">
      <c r="A204" s="203"/>
      <c r="B204" s="223"/>
      <c r="C204" s="226"/>
      <c r="D204" s="225"/>
      <c r="E204" s="225"/>
      <c r="F204" s="225"/>
      <c r="G204" s="226"/>
      <c r="H204" s="227"/>
      <c r="I204" s="184"/>
      <c r="J204" s="223"/>
      <c r="K204" s="226"/>
      <c r="L204" s="226"/>
      <c r="M204" s="225"/>
      <c r="N204" s="225"/>
      <c r="O204" s="228"/>
      <c r="P204" s="228"/>
      <c r="Q204" s="229"/>
    </row>
    <row r="205" spans="1:17">
      <c r="A205" s="203"/>
      <c r="B205" s="223"/>
      <c r="C205" s="226"/>
      <c r="D205" s="225"/>
      <c r="E205" s="225"/>
      <c r="F205" s="225"/>
      <c r="G205" s="226"/>
      <c r="H205" s="227"/>
      <c r="I205" s="184"/>
      <c r="J205" s="223"/>
      <c r="K205" s="226"/>
      <c r="L205" s="226"/>
      <c r="M205" s="225"/>
      <c r="N205" s="225"/>
      <c r="O205" s="228"/>
      <c r="P205" s="228"/>
      <c r="Q205" s="229"/>
    </row>
    <row r="206" spans="1:17">
      <c r="A206" s="203"/>
      <c r="B206" s="223"/>
      <c r="C206" s="226"/>
      <c r="D206" s="225"/>
      <c r="E206" s="225"/>
      <c r="F206" s="225"/>
      <c r="G206" s="226"/>
      <c r="H206" s="227"/>
      <c r="I206" s="184"/>
      <c r="J206" s="223"/>
      <c r="K206" s="226"/>
      <c r="L206" s="226"/>
      <c r="M206" s="225"/>
      <c r="N206" s="225"/>
      <c r="O206" s="228"/>
      <c r="P206" s="228"/>
      <c r="Q206" s="229"/>
    </row>
    <row r="207" spans="1:17">
      <c r="A207" s="203"/>
      <c r="B207" s="223"/>
      <c r="C207" s="226"/>
      <c r="D207" s="225"/>
      <c r="E207" s="225"/>
      <c r="F207" s="225"/>
      <c r="G207" s="226"/>
      <c r="H207" s="227"/>
      <c r="I207" s="184"/>
      <c r="J207" s="223"/>
      <c r="K207" s="226"/>
      <c r="L207" s="226"/>
      <c r="M207" s="225"/>
      <c r="N207" s="225"/>
      <c r="O207" s="228"/>
      <c r="P207" s="228"/>
      <c r="Q207" s="229"/>
    </row>
    <row r="208" spans="1:17">
      <c r="A208" s="203"/>
      <c r="B208" s="223"/>
      <c r="C208" s="226"/>
      <c r="D208" s="225"/>
      <c r="E208" s="225"/>
      <c r="F208" s="225"/>
      <c r="G208" s="226"/>
      <c r="H208" s="227"/>
      <c r="I208" s="184"/>
      <c r="J208" s="223"/>
      <c r="K208" s="226"/>
      <c r="L208" s="226"/>
      <c r="M208" s="225"/>
      <c r="N208" s="225"/>
      <c r="O208" s="228"/>
      <c r="P208" s="228"/>
      <c r="Q208" s="229"/>
    </row>
    <row r="209" spans="1:17">
      <c r="A209" s="203"/>
      <c r="B209" s="223"/>
      <c r="C209" s="226"/>
      <c r="D209" s="225"/>
      <c r="E209" s="225"/>
      <c r="F209" s="225"/>
      <c r="G209" s="226"/>
      <c r="H209" s="227"/>
      <c r="I209" s="184"/>
      <c r="J209" s="223"/>
      <c r="K209" s="226"/>
      <c r="L209" s="226"/>
      <c r="M209" s="225"/>
      <c r="N209" s="225"/>
      <c r="O209" s="228"/>
      <c r="P209" s="228"/>
      <c r="Q209" s="229"/>
    </row>
    <row r="210" spans="1:17">
      <c r="A210" s="203"/>
      <c r="B210" s="223"/>
      <c r="C210" s="226"/>
      <c r="D210" s="225"/>
      <c r="E210" s="225"/>
      <c r="F210" s="225"/>
      <c r="G210" s="226"/>
      <c r="H210" s="227"/>
      <c r="I210" s="184"/>
      <c r="J210" s="223"/>
      <c r="K210" s="226"/>
      <c r="L210" s="226"/>
      <c r="M210" s="225"/>
      <c r="N210" s="225"/>
      <c r="O210" s="228"/>
      <c r="P210" s="228"/>
      <c r="Q210" s="229"/>
    </row>
    <row r="211" spans="1:17">
      <c r="A211" s="203"/>
      <c r="B211" s="223"/>
      <c r="C211" s="226"/>
      <c r="D211" s="225"/>
      <c r="E211" s="225"/>
      <c r="F211" s="225"/>
      <c r="G211" s="226"/>
      <c r="H211" s="227"/>
      <c r="I211" s="184"/>
      <c r="J211" s="223"/>
      <c r="K211" s="226"/>
      <c r="L211" s="226"/>
      <c r="M211" s="225"/>
      <c r="N211" s="225"/>
      <c r="O211" s="228"/>
      <c r="P211" s="228"/>
      <c r="Q211" s="229"/>
    </row>
    <row r="212" spans="1:17">
      <c r="A212" s="203"/>
      <c r="B212" s="223"/>
      <c r="C212" s="226"/>
      <c r="D212" s="225"/>
      <c r="E212" s="225"/>
      <c r="F212" s="225"/>
      <c r="G212" s="226"/>
      <c r="H212" s="227"/>
      <c r="I212" s="184"/>
      <c r="J212" s="223"/>
      <c r="K212" s="226"/>
      <c r="L212" s="226"/>
      <c r="M212" s="225"/>
      <c r="N212" s="225"/>
      <c r="O212" s="228"/>
      <c r="P212" s="228"/>
      <c r="Q212" s="229"/>
    </row>
    <row r="213" spans="1:17">
      <c r="A213" s="203"/>
      <c r="B213" s="223"/>
      <c r="C213" s="226"/>
      <c r="D213" s="225"/>
      <c r="E213" s="225"/>
      <c r="F213" s="225"/>
      <c r="G213" s="226"/>
      <c r="H213" s="227"/>
      <c r="I213" s="184"/>
      <c r="J213" s="223"/>
      <c r="K213" s="226"/>
      <c r="L213" s="226"/>
      <c r="M213" s="225"/>
      <c r="N213" s="225"/>
      <c r="O213" s="228"/>
      <c r="P213" s="228"/>
      <c r="Q213" s="229"/>
    </row>
    <row r="214" spans="1:17">
      <c r="A214" s="203"/>
      <c r="B214" s="223"/>
      <c r="C214" s="226"/>
      <c r="D214" s="225"/>
      <c r="E214" s="225"/>
      <c r="F214" s="225"/>
      <c r="G214" s="226"/>
      <c r="H214" s="227"/>
      <c r="I214" s="184"/>
      <c r="J214" s="223"/>
      <c r="K214" s="226"/>
      <c r="L214" s="226"/>
      <c r="M214" s="225"/>
      <c r="N214" s="225"/>
      <c r="O214" s="228"/>
      <c r="P214" s="228"/>
      <c r="Q214" s="229"/>
    </row>
    <row r="215" spans="1:17">
      <c r="A215" s="203"/>
      <c r="B215" s="223"/>
      <c r="C215" s="226"/>
      <c r="D215" s="225"/>
      <c r="E215" s="225"/>
      <c r="F215" s="225"/>
      <c r="G215" s="226"/>
      <c r="H215" s="227"/>
      <c r="I215" s="184"/>
      <c r="J215" s="223"/>
      <c r="K215" s="226"/>
      <c r="L215" s="226"/>
      <c r="M215" s="225"/>
      <c r="N215" s="225"/>
      <c r="O215" s="228"/>
      <c r="P215" s="228"/>
      <c r="Q215" s="229"/>
    </row>
    <row r="216" spans="1:17">
      <c r="A216" s="203"/>
      <c r="B216" s="223"/>
      <c r="C216" s="226"/>
      <c r="D216" s="225"/>
      <c r="E216" s="225"/>
      <c r="F216" s="225"/>
      <c r="G216" s="226"/>
      <c r="H216" s="227"/>
      <c r="I216" s="184"/>
      <c r="J216" s="223"/>
      <c r="K216" s="226"/>
      <c r="L216" s="226"/>
      <c r="M216" s="225"/>
      <c r="N216" s="225"/>
      <c r="O216" s="228"/>
      <c r="P216" s="228"/>
      <c r="Q216" s="229"/>
    </row>
    <row r="217" spans="1:17">
      <c r="A217" s="203"/>
      <c r="B217" s="223"/>
      <c r="C217" s="226"/>
      <c r="D217" s="225"/>
      <c r="E217" s="225"/>
      <c r="F217" s="225"/>
      <c r="G217" s="226"/>
      <c r="H217" s="227"/>
      <c r="I217" s="184"/>
      <c r="J217" s="223"/>
      <c r="K217" s="226"/>
      <c r="L217" s="226"/>
      <c r="M217" s="225"/>
      <c r="N217" s="225"/>
      <c r="O217" s="228"/>
      <c r="P217" s="228"/>
      <c r="Q217" s="229"/>
    </row>
    <row r="218" spans="1:17">
      <c r="A218" s="203"/>
      <c r="B218" s="223"/>
      <c r="C218" s="226"/>
      <c r="D218" s="225"/>
      <c r="E218" s="225"/>
      <c r="F218" s="225"/>
      <c r="G218" s="226"/>
      <c r="H218" s="227"/>
      <c r="I218" s="184"/>
      <c r="J218" s="223"/>
      <c r="K218" s="226"/>
      <c r="L218" s="226"/>
      <c r="M218" s="225"/>
      <c r="N218" s="225"/>
      <c r="O218" s="228"/>
      <c r="P218" s="228"/>
      <c r="Q218" s="229"/>
    </row>
    <row r="219" spans="1:17">
      <c r="A219" s="203"/>
      <c r="B219" s="223"/>
      <c r="C219" s="226"/>
      <c r="D219" s="225"/>
      <c r="E219" s="225"/>
      <c r="F219" s="225"/>
      <c r="G219" s="226"/>
      <c r="H219" s="227"/>
      <c r="I219" s="184"/>
      <c r="J219" s="223"/>
      <c r="K219" s="226"/>
      <c r="L219" s="226"/>
      <c r="M219" s="225"/>
      <c r="N219" s="225"/>
      <c r="O219" s="228"/>
      <c r="P219" s="228"/>
      <c r="Q219" s="229"/>
    </row>
    <row r="220" spans="1:17">
      <c r="A220" s="203"/>
      <c r="B220" s="223"/>
      <c r="C220" s="226"/>
      <c r="D220" s="225"/>
      <c r="E220" s="225"/>
      <c r="F220" s="225"/>
      <c r="G220" s="226"/>
      <c r="H220" s="227"/>
      <c r="I220" s="184"/>
      <c r="J220" s="223"/>
      <c r="K220" s="226"/>
      <c r="L220" s="226"/>
      <c r="M220" s="225"/>
      <c r="N220" s="225"/>
      <c r="O220" s="228"/>
      <c r="P220" s="228"/>
      <c r="Q220" s="229"/>
    </row>
    <row r="221" spans="1:17">
      <c r="A221" s="203"/>
      <c r="B221" s="223"/>
      <c r="C221" s="226"/>
      <c r="D221" s="225"/>
      <c r="E221" s="225"/>
      <c r="F221" s="225"/>
      <c r="G221" s="226"/>
      <c r="H221" s="227"/>
      <c r="I221" s="184"/>
      <c r="J221" s="223"/>
      <c r="K221" s="226"/>
      <c r="L221" s="226"/>
      <c r="M221" s="225"/>
      <c r="N221" s="225"/>
      <c r="O221" s="228"/>
      <c r="P221" s="228"/>
      <c r="Q221" s="229"/>
    </row>
    <row r="222" spans="1:17">
      <c r="A222" s="203"/>
      <c r="B222" s="223"/>
      <c r="C222" s="226"/>
      <c r="D222" s="225"/>
      <c r="E222" s="225"/>
      <c r="F222" s="225"/>
      <c r="G222" s="226"/>
      <c r="H222" s="227"/>
      <c r="I222" s="184"/>
      <c r="J222" s="223"/>
      <c r="K222" s="226"/>
      <c r="L222" s="226"/>
      <c r="M222" s="225"/>
      <c r="N222" s="225"/>
      <c r="O222" s="228"/>
      <c r="P222" s="228"/>
      <c r="Q222" s="229"/>
    </row>
    <row r="223" spans="1:17">
      <c r="A223" s="203"/>
      <c r="B223" s="223"/>
      <c r="C223" s="226"/>
      <c r="D223" s="225"/>
      <c r="E223" s="225"/>
      <c r="F223" s="225"/>
      <c r="G223" s="226"/>
      <c r="H223" s="227"/>
      <c r="I223" s="184"/>
      <c r="J223" s="223"/>
      <c r="K223" s="226"/>
      <c r="L223" s="226"/>
      <c r="M223" s="225"/>
      <c r="N223" s="225"/>
      <c r="O223" s="228"/>
      <c r="P223" s="228"/>
      <c r="Q223" s="229"/>
    </row>
    <row r="224" spans="1:17">
      <c r="A224" s="203"/>
      <c r="B224" s="223"/>
      <c r="C224" s="226"/>
      <c r="D224" s="225"/>
      <c r="E224" s="225"/>
      <c r="F224" s="225"/>
      <c r="G224" s="226"/>
      <c r="H224" s="227"/>
      <c r="I224" s="184"/>
      <c r="J224" s="223"/>
      <c r="K224" s="226"/>
      <c r="L224" s="226"/>
      <c r="M224" s="225"/>
      <c r="N224" s="225"/>
      <c r="O224" s="228"/>
      <c r="P224" s="228"/>
      <c r="Q224" s="229"/>
    </row>
    <row r="225" spans="1:17">
      <c r="A225" s="203"/>
      <c r="B225" s="223"/>
      <c r="C225" s="226"/>
      <c r="D225" s="225"/>
      <c r="E225" s="225"/>
      <c r="F225" s="225"/>
      <c r="G225" s="226"/>
      <c r="H225" s="227"/>
      <c r="I225" s="184"/>
      <c r="J225" s="223"/>
      <c r="K225" s="226"/>
      <c r="L225" s="226"/>
      <c r="M225" s="225"/>
      <c r="N225" s="225"/>
      <c r="O225" s="228"/>
      <c r="P225" s="228"/>
      <c r="Q225" s="229"/>
    </row>
    <row r="226" spans="1:17">
      <c r="A226" s="203"/>
      <c r="B226" s="223"/>
      <c r="C226" s="226"/>
      <c r="D226" s="225"/>
      <c r="E226" s="225"/>
      <c r="F226" s="225"/>
      <c r="G226" s="226"/>
      <c r="H226" s="227"/>
      <c r="I226" s="184"/>
      <c r="J226" s="223"/>
      <c r="K226" s="226"/>
      <c r="L226" s="226"/>
      <c r="M226" s="225"/>
      <c r="N226" s="225"/>
      <c r="O226" s="228"/>
      <c r="P226" s="228"/>
      <c r="Q226" s="229"/>
    </row>
    <row r="227" spans="1:17">
      <c r="A227" s="203"/>
      <c r="B227" s="223"/>
      <c r="C227" s="226"/>
      <c r="D227" s="225"/>
      <c r="E227" s="225"/>
      <c r="F227" s="225"/>
      <c r="G227" s="226"/>
      <c r="H227" s="227"/>
      <c r="I227" s="184"/>
      <c r="J227" s="223"/>
      <c r="K227" s="226"/>
      <c r="L227" s="226"/>
      <c r="M227" s="225"/>
      <c r="N227" s="225"/>
      <c r="O227" s="228"/>
      <c r="P227" s="228"/>
      <c r="Q227" s="229"/>
    </row>
    <row r="228" spans="1:17">
      <c r="A228" s="203"/>
      <c r="B228" s="223"/>
      <c r="C228" s="226"/>
      <c r="D228" s="225"/>
      <c r="E228" s="225"/>
      <c r="F228" s="225"/>
      <c r="G228" s="226"/>
      <c r="H228" s="227"/>
      <c r="I228" s="184"/>
      <c r="J228" s="223"/>
      <c r="K228" s="226"/>
      <c r="L228" s="226"/>
      <c r="M228" s="225"/>
      <c r="N228" s="225"/>
      <c r="O228" s="228"/>
      <c r="P228" s="228"/>
      <c r="Q228" s="229"/>
    </row>
    <row r="229" spans="1:17">
      <c r="A229" s="203"/>
      <c r="B229" s="223"/>
      <c r="C229" s="226"/>
      <c r="D229" s="225"/>
      <c r="E229" s="225"/>
      <c r="F229" s="225"/>
      <c r="G229" s="226"/>
      <c r="H229" s="227"/>
      <c r="I229" s="184"/>
      <c r="J229" s="223"/>
      <c r="K229" s="226"/>
      <c r="L229" s="226"/>
      <c r="M229" s="225"/>
      <c r="N229" s="225"/>
      <c r="O229" s="228"/>
      <c r="P229" s="228"/>
      <c r="Q229" s="229"/>
    </row>
    <row r="230" spans="1:17">
      <c r="A230" s="203"/>
      <c r="B230" s="223"/>
      <c r="C230" s="226"/>
      <c r="D230" s="225"/>
      <c r="E230" s="225"/>
      <c r="F230" s="225"/>
      <c r="G230" s="226"/>
      <c r="H230" s="227"/>
      <c r="I230" s="184"/>
      <c r="J230" s="223"/>
      <c r="K230" s="226"/>
      <c r="L230" s="226"/>
      <c r="M230" s="225"/>
      <c r="N230" s="225"/>
      <c r="O230" s="228"/>
      <c r="P230" s="228"/>
      <c r="Q230" s="229"/>
    </row>
    <row r="231" spans="1:17">
      <c r="A231" s="203"/>
      <c r="B231" s="223"/>
      <c r="C231" s="226"/>
      <c r="D231" s="225"/>
      <c r="E231" s="225"/>
      <c r="F231" s="225"/>
      <c r="G231" s="226"/>
      <c r="H231" s="227"/>
      <c r="I231" s="184"/>
      <c r="J231" s="223"/>
      <c r="K231" s="226"/>
      <c r="L231" s="226"/>
      <c r="M231" s="225"/>
      <c r="N231" s="225"/>
      <c r="O231" s="228"/>
      <c r="P231" s="228"/>
      <c r="Q231" s="229"/>
    </row>
    <row r="232" spans="1:17">
      <c r="A232" s="203"/>
      <c r="B232" s="223"/>
      <c r="C232" s="226"/>
      <c r="D232" s="225"/>
      <c r="E232" s="225"/>
      <c r="F232" s="225"/>
      <c r="G232" s="226"/>
      <c r="H232" s="227"/>
      <c r="I232" s="184"/>
      <c r="J232" s="223"/>
      <c r="K232" s="226"/>
      <c r="L232" s="226"/>
      <c r="M232" s="225"/>
      <c r="N232" s="225"/>
      <c r="O232" s="228"/>
      <c r="P232" s="228"/>
      <c r="Q232" s="229"/>
    </row>
    <row r="233" spans="1:17">
      <c r="A233" s="203"/>
      <c r="B233" s="223"/>
      <c r="C233" s="226"/>
      <c r="D233" s="225"/>
      <c r="E233" s="225"/>
      <c r="F233" s="225"/>
      <c r="G233" s="226"/>
      <c r="H233" s="227"/>
      <c r="I233" s="184"/>
      <c r="J233" s="223"/>
      <c r="K233" s="226"/>
      <c r="L233" s="226"/>
      <c r="M233" s="225"/>
      <c r="N233" s="225"/>
      <c r="O233" s="228"/>
      <c r="P233" s="228"/>
      <c r="Q233" s="229"/>
    </row>
    <row r="234" spans="1:17">
      <c r="A234" s="203"/>
      <c r="B234" s="223"/>
      <c r="C234" s="226"/>
      <c r="D234" s="225"/>
      <c r="E234" s="225"/>
      <c r="F234" s="225"/>
      <c r="G234" s="226"/>
      <c r="H234" s="227"/>
      <c r="I234" s="184"/>
      <c r="J234" s="223"/>
      <c r="K234" s="226"/>
      <c r="L234" s="226"/>
      <c r="M234" s="225"/>
      <c r="N234" s="225"/>
      <c r="O234" s="228"/>
      <c r="P234" s="228"/>
      <c r="Q234" s="229"/>
    </row>
    <row r="235" spans="1:17">
      <c r="A235" s="203"/>
      <c r="B235" s="223"/>
      <c r="C235" s="226"/>
      <c r="D235" s="225"/>
      <c r="E235" s="225"/>
      <c r="F235" s="225"/>
      <c r="G235" s="226"/>
      <c r="H235" s="227"/>
      <c r="I235" s="184"/>
      <c r="J235" s="223"/>
      <c r="K235" s="226"/>
      <c r="L235" s="226"/>
      <c r="M235" s="225"/>
      <c r="N235" s="225"/>
      <c r="O235" s="228"/>
      <c r="P235" s="228"/>
      <c r="Q235" s="229"/>
    </row>
    <row r="236" spans="1:17">
      <c r="A236" s="203"/>
      <c r="B236" s="223"/>
      <c r="C236" s="226"/>
      <c r="D236" s="225"/>
      <c r="E236" s="225"/>
      <c r="F236" s="225"/>
      <c r="G236" s="226"/>
      <c r="H236" s="227"/>
      <c r="I236" s="184"/>
      <c r="J236" s="223"/>
      <c r="K236" s="226"/>
      <c r="L236" s="226"/>
      <c r="M236" s="225"/>
      <c r="N236" s="225"/>
      <c r="O236" s="228"/>
      <c r="P236" s="228"/>
      <c r="Q236" s="229"/>
    </row>
    <row r="237" spans="1:17">
      <c r="A237" s="203"/>
      <c r="B237" s="223"/>
      <c r="C237" s="226"/>
      <c r="D237" s="225"/>
      <c r="E237" s="225"/>
      <c r="F237" s="225"/>
      <c r="G237" s="226"/>
      <c r="H237" s="227"/>
      <c r="I237" s="184"/>
      <c r="J237" s="223"/>
      <c r="K237" s="226"/>
      <c r="L237" s="226"/>
      <c r="M237" s="225"/>
      <c r="N237" s="225"/>
      <c r="O237" s="228"/>
      <c r="P237" s="228"/>
      <c r="Q237" s="229"/>
    </row>
    <row r="238" spans="1:17">
      <c r="A238" s="203"/>
      <c r="B238" s="223"/>
      <c r="C238" s="226"/>
      <c r="D238" s="225"/>
      <c r="E238" s="225"/>
      <c r="F238" s="225"/>
      <c r="G238" s="226"/>
      <c r="H238" s="227"/>
      <c r="I238" s="184"/>
      <c r="J238" s="223"/>
      <c r="K238" s="226"/>
      <c r="L238" s="226"/>
      <c r="M238" s="225"/>
      <c r="N238" s="225"/>
      <c r="O238" s="228"/>
      <c r="P238" s="228"/>
      <c r="Q238" s="229"/>
    </row>
    <row r="239" spans="1:17">
      <c r="A239" s="203"/>
      <c r="B239" s="223"/>
      <c r="C239" s="226"/>
      <c r="D239" s="225"/>
      <c r="E239" s="225"/>
      <c r="F239" s="225"/>
      <c r="G239" s="226"/>
      <c r="H239" s="227"/>
      <c r="I239" s="184"/>
      <c r="J239" s="223"/>
      <c r="K239" s="226"/>
      <c r="L239" s="226"/>
      <c r="M239" s="225"/>
      <c r="N239" s="225"/>
      <c r="O239" s="228"/>
      <c r="P239" s="228"/>
      <c r="Q239" s="229"/>
    </row>
    <row r="240" spans="1:17">
      <c r="A240" s="203"/>
      <c r="B240" s="223"/>
      <c r="C240" s="226"/>
      <c r="D240" s="225"/>
      <c r="E240" s="225"/>
      <c r="F240" s="225"/>
      <c r="G240" s="226"/>
      <c r="H240" s="227"/>
      <c r="I240" s="184"/>
      <c r="J240" s="223"/>
      <c r="K240" s="226"/>
      <c r="L240" s="226"/>
      <c r="M240" s="225"/>
      <c r="N240" s="225"/>
      <c r="O240" s="228"/>
      <c r="P240" s="228"/>
      <c r="Q240" s="229"/>
    </row>
    <row r="241" spans="1:17">
      <c r="A241" s="203"/>
      <c r="B241" s="223"/>
      <c r="C241" s="226"/>
      <c r="D241" s="225"/>
      <c r="E241" s="225"/>
      <c r="F241" s="225"/>
      <c r="G241" s="226"/>
      <c r="H241" s="227"/>
      <c r="I241" s="184"/>
      <c r="J241" s="223"/>
      <c r="K241" s="226"/>
      <c r="L241" s="226"/>
      <c r="M241" s="225"/>
      <c r="N241" s="225"/>
      <c r="O241" s="228"/>
      <c r="P241" s="228"/>
      <c r="Q241" s="229"/>
    </row>
    <row r="242" spans="1:17">
      <c r="A242" s="203"/>
      <c r="B242" s="223"/>
      <c r="C242" s="226"/>
      <c r="D242" s="225"/>
      <c r="E242" s="225"/>
      <c r="F242" s="225"/>
      <c r="G242" s="226"/>
      <c r="H242" s="227"/>
      <c r="I242" s="184"/>
      <c r="J242" s="223"/>
      <c r="K242" s="226"/>
      <c r="L242" s="226"/>
      <c r="M242" s="225"/>
      <c r="N242" s="225"/>
      <c r="O242" s="228"/>
      <c r="P242" s="228"/>
      <c r="Q242" s="229"/>
    </row>
    <row r="243" spans="1:17">
      <c r="A243" s="203"/>
      <c r="B243" s="223"/>
      <c r="C243" s="226"/>
      <c r="D243" s="225"/>
      <c r="E243" s="225"/>
      <c r="F243" s="225"/>
      <c r="G243" s="226"/>
      <c r="H243" s="227"/>
      <c r="I243" s="184"/>
      <c r="J243" s="223"/>
      <c r="K243" s="226"/>
      <c r="L243" s="226"/>
      <c r="M243" s="225"/>
      <c r="N243" s="225"/>
      <c r="O243" s="228"/>
      <c r="P243" s="228"/>
      <c r="Q243" s="229"/>
    </row>
    <row r="244" spans="1:17">
      <c r="A244" s="203"/>
      <c r="B244" s="223"/>
      <c r="C244" s="226"/>
      <c r="D244" s="225"/>
      <c r="E244" s="225"/>
      <c r="F244" s="225"/>
      <c r="G244" s="226"/>
      <c r="H244" s="227"/>
      <c r="I244" s="184"/>
      <c r="J244" s="223"/>
      <c r="K244" s="226"/>
      <c r="L244" s="226"/>
      <c r="M244" s="225"/>
      <c r="N244" s="225"/>
      <c r="O244" s="228"/>
      <c r="P244" s="228"/>
      <c r="Q244" s="229"/>
    </row>
    <row r="245" spans="1:17">
      <c r="A245" s="203"/>
      <c r="B245" s="223"/>
      <c r="C245" s="226"/>
      <c r="D245" s="225"/>
      <c r="E245" s="225"/>
      <c r="F245" s="225"/>
      <c r="G245" s="226"/>
      <c r="H245" s="227"/>
      <c r="I245" s="184"/>
      <c r="J245" s="223"/>
      <c r="K245" s="226"/>
      <c r="L245" s="226"/>
      <c r="M245" s="225"/>
      <c r="N245" s="225"/>
      <c r="O245" s="228"/>
      <c r="P245" s="228"/>
      <c r="Q245" s="229"/>
    </row>
    <row r="246" spans="1:17">
      <c r="A246" s="203"/>
      <c r="B246" s="223"/>
      <c r="C246" s="226"/>
      <c r="D246" s="225"/>
      <c r="E246" s="225"/>
      <c r="F246" s="225"/>
      <c r="G246" s="226"/>
      <c r="H246" s="227"/>
      <c r="I246" s="184"/>
      <c r="J246" s="223"/>
      <c r="K246" s="226"/>
      <c r="L246" s="226"/>
      <c r="M246" s="225"/>
      <c r="N246" s="225"/>
      <c r="O246" s="228"/>
      <c r="P246" s="228"/>
      <c r="Q246" s="229"/>
    </row>
    <row r="247" spans="1:17">
      <c r="A247" s="203"/>
      <c r="B247" s="223"/>
      <c r="C247" s="226"/>
      <c r="D247" s="225"/>
      <c r="E247" s="225"/>
      <c r="F247" s="225"/>
      <c r="G247" s="226"/>
      <c r="H247" s="227"/>
      <c r="I247" s="184"/>
      <c r="J247" s="223"/>
      <c r="K247" s="226"/>
      <c r="L247" s="226"/>
      <c r="M247" s="225"/>
      <c r="N247" s="225"/>
      <c r="O247" s="228"/>
      <c r="P247" s="228"/>
      <c r="Q247" s="229"/>
    </row>
    <row r="248" spans="1:17">
      <c r="A248" s="203"/>
      <c r="B248" s="223"/>
      <c r="C248" s="226"/>
      <c r="D248" s="225"/>
      <c r="E248" s="225"/>
      <c r="F248" s="225"/>
      <c r="G248" s="226"/>
      <c r="H248" s="227"/>
      <c r="I248" s="184"/>
      <c r="J248" s="223"/>
      <c r="K248" s="226"/>
      <c r="L248" s="226"/>
      <c r="M248" s="225"/>
      <c r="N248" s="225"/>
      <c r="O248" s="228"/>
      <c r="P248" s="228"/>
      <c r="Q248" s="229"/>
    </row>
    <row r="249" spans="1:17">
      <c r="A249" s="203"/>
      <c r="B249" s="223"/>
      <c r="C249" s="226"/>
      <c r="D249" s="225"/>
      <c r="E249" s="225"/>
      <c r="F249" s="225"/>
      <c r="G249" s="226"/>
      <c r="H249" s="227"/>
      <c r="I249" s="184"/>
      <c r="J249" s="223"/>
      <c r="K249" s="226"/>
      <c r="L249" s="226"/>
      <c r="M249" s="225"/>
      <c r="N249" s="225"/>
      <c r="O249" s="228"/>
      <c r="P249" s="228"/>
      <c r="Q249" s="229"/>
    </row>
    <row r="250" spans="1:17">
      <c r="A250" s="203"/>
      <c r="B250" s="223"/>
      <c r="C250" s="226"/>
      <c r="D250" s="225"/>
      <c r="E250" s="225"/>
      <c r="F250" s="225"/>
      <c r="G250" s="226"/>
      <c r="H250" s="227"/>
      <c r="I250" s="184"/>
      <c r="J250" s="223"/>
      <c r="K250" s="226"/>
      <c r="L250" s="226"/>
      <c r="M250" s="225"/>
      <c r="N250" s="225"/>
      <c r="O250" s="228"/>
      <c r="P250" s="228"/>
      <c r="Q250" s="229"/>
    </row>
    <row r="251" spans="1:17">
      <c r="A251" s="203"/>
      <c r="B251" s="223"/>
      <c r="C251" s="226"/>
      <c r="D251" s="225"/>
      <c r="E251" s="225"/>
      <c r="F251" s="225"/>
      <c r="G251" s="226"/>
      <c r="H251" s="227"/>
      <c r="I251" s="184"/>
      <c r="J251" s="223"/>
      <c r="K251" s="226"/>
      <c r="L251" s="226"/>
      <c r="M251" s="225"/>
      <c r="N251" s="225"/>
      <c r="O251" s="228"/>
      <c r="P251" s="228"/>
      <c r="Q251" s="229"/>
    </row>
    <row r="252" spans="1:17">
      <c r="A252" s="203"/>
      <c r="B252" s="223"/>
      <c r="C252" s="226"/>
      <c r="D252" s="225"/>
      <c r="E252" s="225"/>
      <c r="F252" s="225"/>
      <c r="G252" s="226"/>
      <c r="H252" s="227"/>
      <c r="I252" s="184"/>
      <c r="J252" s="223"/>
      <c r="K252" s="226"/>
      <c r="L252" s="226"/>
      <c r="M252" s="225"/>
      <c r="N252" s="225"/>
      <c r="O252" s="228"/>
      <c r="P252" s="228"/>
      <c r="Q252" s="229"/>
    </row>
    <row r="253" spans="1:17">
      <c r="A253" s="203"/>
      <c r="B253" s="223"/>
      <c r="C253" s="226"/>
      <c r="D253" s="225"/>
      <c r="E253" s="225"/>
      <c r="F253" s="225"/>
      <c r="G253" s="226"/>
      <c r="H253" s="227"/>
      <c r="I253" s="184"/>
      <c r="J253" s="223"/>
      <c r="K253" s="226"/>
      <c r="L253" s="226"/>
      <c r="M253" s="225"/>
      <c r="N253" s="225"/>
      <c r="O253" s="228"/>
      <c r="P253" s="228"/>
      <c r="Q253" s="229"/>
    </row>
    <row r="254" spans="1:17">
      <c r="A254" s="203"/>
      <c r="B254" s="223"/>
      <c r="C254" s="226"/>
      <c r="D254" s="225"/>
      <c r="E254" s="225"/>
      <c r="F254" s="225"/>
      <c r="G254" s="226"/>
      <c r="H254" s="227"/>
      <c r="I254" s="184"/>
      <c r="J254" s="223"/>
      <c r="K254" s="226"/>
      <c r="L254" s="226"/>
      <c r="M254" s="225"/>
      <c r="N254" s="225"/>
      <c r="O254" s="228"/>
      <c r="P254" s="228"/>
      <c r="Q254" s="229"/>
    </row>
    <row r="255" spans="1:17">
      <c r="A255" s="203"/>
      <c r="B255" s="223"/>
      <c r="C255" s="226"/>
      <c r="D255" s="225"/>
      <c r="E255" s="225"/>
      <c r="F255" s="225"/>
      <c r="G255" s="226"/>
      <c r="H255" s="227"/>
      <c r="I255" s="184"/>
      <c r="J255" s="223"/>
      <c r="K255" s="226"/>
      <c r="L255" s="226"/>
      <c r="M255" s="225"/>
      <c r="N255" s="225"/>
      <c r="O255" s="228"/>
      <c r="P255" s="228"/>
      <c r="Q255" s="229"/>
    </row>
    <row r="256" spans="1:17">
      <c r="A256" s="203"/>
      <c r="B256" s="223"/>
      <c r="C256" s="226"/>
      <c r="D256" s="225"/>
      <c r="E256" s="225"/>
      <c r="F256" s="225"/>
      <c r="G256" s="226"/>
      <c r="H256" s="227"/>
      <c r="I256" s="184"/>
      <c r="J256" s="223"/>
      <c r="K256" s="226"/>
      <c r="L256" s="226"/>
      <c r="M256" s="225"/>
      <c r="N256" s="225"/>
      <c r="O256" s="228"/>
      <c r="P256" s="228"/>
      <c r="Q256" s="229"/>
    </row>
    <row r="257" spans="1:17">
      <c r="A257" s="203"/>
      <c r="B257" s="223"/>
      <c r="C257" s="226"/>
      <c r="D257" s="225"/>
      <c r="E257" s="225"/>
      <c r="F257" s="225"/>
      <c r="G257" s="226"/>
      <c r="H257" s="227"/>
      <c r="I257" s="184"/>
      <c r="J257" s="223"/>
      <c r="K257" s="226"/>
      <c r="L257" s="226"/>
      <c r="M257" s="225"/>
      <c r="N257" s="225"/>
      <c r="O257" s="228"/>
      <c r="P257" s="228"/>
      <c r="Q257" s="229"/>
    </row>
    <row r="258" spans="1:17">
      <c r="A258" s="203"/>
      <c r="B258" s="223"/>
      <c r="C258" s="226"/>
      <c r="D258" s="225"/>
      <c r="E258" s="225"/>
      <c r="F258" s="225"/>
      <c r="G258" s="226"/>
      <c r="H258" s="227"/>
      <c r="I258" s="184"/>
      <c r="J258" s="223"/>
      <c r="K258" s="226"/>
      <c r="L258" s="226"/>
      <c r="M258" s="225"/>
      <c r="N258" s="225"/>
      <c r="O258" s="228"/>
      <c r="P258" s="228"/>
      <c r="Q258" s="229"/>
    </row>
    <row r="259" spans="1:17">
      <c r="A259" s="203"/>
      <c r="B259" s="223"/>
      <c r="C259" s="226"/>
      <c r="D259" s="225"/>
      <c r="E259" s="225"/>
      <c r="F259" s="225"/>
      <c r="G259" s="226"/>
      <c r="H259" s="227"/>
      <c r="I259" s="184"/>
      <c r="J259" s="223"/>
      <c r="K259" s="226"/>
      <c r="L259" s="226"/>
      <c r="M259" s="225"/>
      <c r="N259" s="225"/>
      <c r="O259" s="228"/>
      <c r="P259" s="228"/>
      <c r="Q259" s="229"/>
    </row>
    <row r="260" spans="1:17">
      <c r="A260" s="203"/>
      <c r="B260" s="223"/>
      <c r="C260" s="226"/>
      <c r="D260" s="225"/>
      <c r="E260" s="225"/>
      <c r="F260" s="225"/>
      <c r="G260" s="226"/>
      <c r="H260" s="227"/>
      <c r="I260" s="184"/>
      <c r="J260" s="223"/>
      <c r="K260" s="226"/>
      <c r="L260" s="226"/>
      <c r="M260" s="225"/>
      <c r="N260" s="225"/>
      <c r="O260" s="228"/>
      <c r="P260" s="228"/>
      <c r="Q260" s="229"/>
    </row>
    <row r="261" spans="1:17">
      <c r="A261" s="203"/>
      <c r="B261" s="223"/>
      <c r="C261" s="226"/>
      <c r="D261" s="225"/>
      <c r="E261" s="225"/>
      <c r="F261" s="225"/>
      <c r="G261" s="226"/>
      <c r="H261" s="227"/>
      <c r="I261" s="184"/>
      <c r="J261" s="223"/>
      <c r="K261" s="226"/>
      <c r="L261" s="226"/>
      <c r="M261" s="225"/>
      <c r="N261" s="225"/>
      <c r="O261" s="228"/>
      <c r="P261" s="228"/>
      <c r="Q261" s="229"/>
    </row>
    <row r="262" spans="1:17">
      <c r="A262" s="203"/>
      <c r="B262" s="223"/>
      <c r="C262" s="226"/>
      <c r="D262" s="225"/>
      <c r="E262" s="225"/>
      <c r="F262" s="225"/>
      <c r="G262" s="226"/>
      <c r="H262" s="227"/>
      <c r="I262" s="184"/>
      <c r="J262" s="223"/>
      <c r="K262" s="226"/>
      <c r="L262" s="226"/>
      <c r="M262" s="225"/>
      <c r="N262" s="225"/>
      <c r="O262" s="228"/>
      <c r="P262" s="228"/>
      <c r="Q262" s="229"/>
    </row>
    <row r="263" spans="1:17">
      <c r="A263" s="203"/>
      <c r="B263" s="223"/>
      <c r="C263" s="226"/>
      <c r="D263" s="225"/>
      <c r="E263" s="225"/>
      <c r="F263" s="225"/>
      <c r="G263" s="226"/>
      <c r="H263" s="227"/>
      <c r="I263" s="184"/>
      <c r="J263" s="223"/>
      <c r="K263" s="226"/>
      <c r="L263" s="226"/>
      <c r="M263" s="225"/>
      <c r="N263" s="225"/>
      <c r="O263" s="228"/>
      <c r="P263" s="228"/>
      <c r="Q263" s="229"/>
    </row>
    <row r="264" spans="1:17">
      <c r="A264" s="203"/>
      <c r="B264" s="223"/>
      <c r="C264" s="226"/>
      <c r="D264" s="225"/>
      <c r="E264" s="225"/>
      <c r="F264" s="225"/>
      <c r="G264" s="226"/>
      <c r="H264" s="227"/>
      <c r="I264" s="184"/>
      <c r="J264" s="223"/>
      <c r="K264" s="226"/>
      <c r="L264" s="226"/>
      <c r="M264" s="225"/>
      <c r="N264" s="225"/>
      <c r="O264" s="228"/>
      <c r="P264" s="228"/>
      <c r="Q264" s="229"/>
    </row>
    <row r="265" spans="1:17">
      <c r="A265" s="203"/>
      <c r="B265" s="223"/>
      <c r="C265" s="226"/>
      <c r="D265" s="225"/>
      <c r="E265" s="225"/>
      <c r="F265" s="225"/>
      <c r="G265" s="226"/>
      <c r="H265" s="227"/>
      <c r="I265" s="184"/>
      <c r="J265" s="223"/>
      <c r="K265" s="226"/>
      <c r="L265" s="226"/>
      <c r="M265" s="225"/>
      <c r="N265" s="225"/>
      <c r="O265" s="228"/>
      <c r="P265" s="228"/>
      <c r="Q265" s="229"/>
    </row>
    <row r="266" spans="1:17">
      <c r="A266" s="203"/>
      <c r="B266" s="223"/>
      <c r="C266" s="226"/>
      <c r="D266" s="225"/>
      <c r="E266" s="225"/>
      <c r="F266" s="225"/>
      <c r="G266" s="226"/>
      <c r="H266" s="227"/>
      <c r="I266" s="184"/>
      <c r="J266" s="223"/>
      <c r="K266" s="226"/>
      <c r="L266" s="226"/>
      <c r="M266" s="225"/>
      <c r="N266" s="225"/>
      <c r="O266" s="228"/>
      <c r="P266" s="228"/>
      <c r="Q266" s="229"/>
    </row>
    <row r="267" spans="1:17">
      <c r="A267" s="203"/>
      <c r="B267" s="223"/>
      <c r="C267" s="226"/>
      <c r="D267" s="225"/>
      <c r="E267" s="225"/>
      <c r="F267" s="225"/>
      <c r="G267" s="226"/>
      <c r="H267" s="227"/>
      <c r="I267" s="184"/>
      <c r="J267" s="223"/>
      <c r="K267" s="226"/>
      <c r="L267" s="226"/>
      <c r="M267" s="225"/>
      <c r="N267" s="225"/>
      <c r="O267" s="228"/>
      <c r="P267" s="228"/>
      <c r="Q267" s="229"/>
    </row>
    <row r="268" spans="1:17">
      <c r="A268" s="203"/>
      <c r="B268" s="223"/>
      <c r="C268" s="226"/>
      <c r="D268" s="225"/>
      <c r="E268" s="225"/>
      <c r="F268" s="225"/>
      <c r="G268" s="226"/>
      <c r="H268" s="227"/>
      <c r="I268" s="184"/>
      <c r="J268" s="223"/>
      <c r="K268" s="226"/>
      <c r="L268" s="226"/>
      <c r="M268" s="225"/>
      <c r="N268" s="225"/>
      <c r="O268" s="228"/>
      <c r="P268" s="228"/>
      <c r="Q268" s="229"/>
    </row>
    <row r="269" spans="1:17">
      <c r="A269" s="203"/>
      <c r="B269" s="223"/>
      <c r="C269" s="226"/>
      <c r="D269" s="225"/>
      <c r="E269" s="225"/>
      <c r="F269" s="225"/>
      <c r="G269" s="226"/>
      <c r="H269" s="227"/>
      <c r="I269" s="184"/>
      <c r="J269" s="223"/>
      <c r="K269" s="226"/>
      <c r="L269" s="226"/>
      <c r="M269" s="225"/>
      <c r="N269" s="225"/>
      <c r="O269" s="228"/>
      <c r="P269" s="228"/>
      <c r="Q269" s="229"/>
    </row>
    <row r="270" spans="1:17">
      <c r="A270" s="203"/>
      <c r="B270" s="223"/>
      <c r="C270" s="226"/>
      <c r="D270" s="225"/>
      <c r="E270" s="225"/>
      <c r="F270" s="225"/>
      <c r="G270" s="226"/>
      <c r="H270" s="227"/>
      <c r="I270" s="184"/>
      <c r="J270" s="223"/>
      <c r="K270" s="226"/>
      <c r="L270" s="226"/>
      <c r="M270" s="225"/>
      <c r="N270" s="225"/>
      <c r="O270" s="228"/>
      <c r="P270" s="228"/>
      <c r="Q270" s="229"/>
    </row>
    <row r="271" spans="1:17">
      <c r="A271" s="203"/>
      <c r="B271" s="223"/>
      <c r="C271" s="226"/>
      <c r="D271" s="225"/>
      <c r="E271" s="225"/>
      <c r="F271" s="225"/>
      <c r="G271" s="226"/>
      <c r="H271" s="227"/>
      <c r="I271" s="184"/>
      <c r="J271" s="223"/>
      <c r="K271" s="226"/>
      <c r="L271" s="226"/>
      <c r="M271" s="225"/>
      <c r="N271" s="225"/>
      <c r="O271" s="228"/>
      <c r="P271" s="228"/>
      <c r="Q271" s="229"/>
    </row>
    <row r="272" spans="1:17">
      <c r="A272" s="203"/>
      <c r="B272" s="223"/>
      <c r="C272" s="226"/>
      <c r="D272" s="225"/>
      <c r="E272" s="225"/>
      <c r="F272" s="225"/>
      <c r="G272" s="226"/>
      <c r="H272" s="227"/>
      <c r="I272" s="184"/>
      <c r="J272" s="223"/>
      <c r="K272" s="226"/>
      <c r="L272" s="226"/>
      <c r="M272" s="225"/>
      <c r="N272" s="225"/>
      <c r="O272" s="228"/>
      <c r="P272" s="228"/>
      <c r="Q272" s="229"/>
    </row>
    <row r="273" spans="1:17">
      <c r="A273" s="203"/>
      <c r="B273" s="223"/>
      <c r="C273" s="226"/>
      <c r="D273" s="225"/>
      <c r="E273" s="225"/>
      <c r="F273" s="225"/>
      <c r="G273" s="226"/>
      <c r="H273" s="227"/>
      <c r="I273" s="184"/>
      <c r="J273" s="223"/>
      <c r="K273" s="226"/>
      <c r="L273" s="226"/>
      <c r="M273" s="225"/>
      <c r="N273" s="225"/>
      <c r="O273" s="228"/>
      <c r="P273" s="228"/>
      <c r="Q273" s="229"/>
    </row>
    <row r="274" spans="1:17">
      <c r="A274" s="203"/>
      <c r="B274" s="223"/>
      <c r="C274" s="226"/>
      <c r="D274" s="225"/>
      <c r="E274" s="225"/>
      <c r="F274" s="225"/>
      <c r="G274" s="226"/>
      <c r="H274" s="227"/>
      <c r="I274" s="184"/>
      <c r="J274" s="223"/>
      <c r="K274" s="226"/>
      <c r="L274" s="226"/>
      <c r="M274" s="225"/>
      <c r="N274" s="225"/>
      <c r="O274" s="228"/>
      <c r="P274" s="228"/>
      <c r="Q274" s="229"/>
    </row>
    <row r="275" spans="1:17">
      <c r="A275" s="203"/>
      <c r="B275" s="223"/>
      <c r="C275" s="226"/>
      <c r="D275" s="225"/>
      <c r="E275" s="225"/>
      <c r="F275" s="225"/>
      <c r="G275" s="226"/>
      <c r="H275" s="227"/>
      <c r="I275" s="184"/>
      <c r="J275" s="223"/>
      <c r="K275" s="226"/>
      <c r="L275" s="226"/>
      <c r="M275" s="225"/>
      <c r="N275" s="225"/>
      <c r="O275" s="228"/>
      <c r="P275" s="228"/>
      <c r="Q275" s="229"/>
    </row>
    <row r="276" spans="1:17">
      <c r="A276" s="203"/>
      <c r="B276" s="223"/>
      <c r="C276" s="226"/>
      <c r="D276" s="225"/>
      <c r="E276" s="225"/>
      <c r="F276" s="225"/>
      <c r="G276" s="226"/>
      <c r="H276" s="227"/>
      <c r="I276" s="184"/>
      <c r="J276" s="223"/>
      <c r="K276" s="226"/>
      <c r="L276" s="226"/>
      <c r="M276" s="225"/>
      <c r="N276" s="225"/>
      <c r="O276" s="228"/>
      <c r="P276" s="228"/>
      <c r="Q276" s="229"/>
    </row>
    <row r="277" spans="1:17">
      <c r="A277" s="203"/>
      <c r="B277" s="223"/>
      <c r="C277" s="226"/>
      <c r="D277" s="225"/>
      <c r="E277" s="225"/>
      <c r="F277" s="225"/>
      <c r="G277" s="226"/>
      <c r="H277" s="227"/>
      <c r="I277" s="184"/>
      <c r="J277" s="223"/>
      <c r="K277" s="226"/>
      <c r="L277" s="226"/>
      <c r="M277" s="225"/>
      <c r="N277" s="225"/>
      <c r="O277" s="228"/>
      <c r="P277" s="228"/>
      <c r="Q277" s="229"/>
    </row>
    <row r="278" spans="1:17">
      <c r="A278" s="203"/>
      <c r="B278" s="223"/>
      <c r="C278" s="226"/>
      <c r="D278" s="225"/>
      <c r="E278" s="225"/>
      <c r="F278" s="225"/>
      <c r="G278" s="226"/>
      <c r="H278" s="227"/>
      <c r="I278" s="184"/>
      <c r="J278" s="223"/>
      <c r="K278" s="226"/>
      <c r="L278" s="226"/>
      <c r="M278" s="225"/>
      <c r="N278" s="225"/>
      <c r="O278" s="228"/>
      <c r="P278" s="228"/>
      <c r="Q278" s="229"/>
    </row>
    <row r="279" spans="1:17">
      <c r="A279" s="203"/>
      <c r="B279" s="223"/>
      <c r="C279" s="226"/>
      <c r="D279" s="225"/>
      <c r="E279" s="225"/>
      <c r="F279" s="225"/>
      <c r="G279" s="226"/>
      <c r="H279" s="227"/>
      <c r="I279" s="184"/>
      <c r="J279" s="223"/>
      <c r="K279" s="226"/>
      <c r="L279" s="226"/>
      <c r="M279" s="225"/>
      <c r="N279" s="225"/>
      <c r="O279" s="228"/>
      <c r="P279" s="228"/>
      <c r="Q279" s="229"/>
    </row>
    <row r="280" spans="1:17">
      <c r="A280" s="203"/>
      <c r="B280" s="223"/>
      <c r="C280" s="224"/>
      <c r="D280" s="225"/>
      <c r="E280" s="225"/>
      <c r="F280" s="225"/>
      <c r="G280" s="226"/>
      <c r="H280" s="227"/>
      <c r="I280" s="184"/>
      <c r="J280" s="223"/>
      <c r="K280" s="226"/>
      <c r="L280" s="226"/>
      <c r="M280" s="225"/>
      <c r="N280" s="225"/>
      <c r="O280" s="228"/>
      <c r="P280" s="228"/>
      <c r="Q280" s="229"/>
    </row>
    <row r="281" spans="1:17">
      <c r="A281" s="203"/>
      <c r="B281" s="223"/>
      <c r="C281" s="224"/>
      <c r="D281" s="225"/>
      <c r="E281" s="225"/>
      <c r="F281" s="225"/>
      <c r="G281" s="226"/>
      <c r="H281" s="227"/>
      <c r="I281" s="184"/>
      <c r="J281" s="223"/>
      <c r="K281" s="226"/>
      <c r="L281" s="226"/>
      <c r="M281" s="225"/>
      <c r="N281" s="225"/>
      <c r="O281" s="228"/>
      <c r="P281" s="228"/>
      <c r="Q281" s="229"/>
    </row>
    <row r="282" spans="1:17" ht="19.5" thickBot="1">
      <c r="A282" s="203"/>
      <c r="B282" s="242"/>
      <c r="C282" s="243"/>
      <c r="D282" s="244"/>
      <c r="E282" s="244"/>
      <c r="F282" s="244"/>
      <c r="G282" s="243"/>
      <c r="H282" s="245"/>
      <c r="I282" s="184"/>
      <c r="J282" s="242"/>
      <c r="K282" s="243"/>
      <c r="L282" s="243"/>
      <c r="M282" s="244"/>
      <c r="N282" s="244"/>
      <c r="O282" s="246"/>
      <c r="P282" s="246"/>
      <c r="Q282" s="245"/>
    </row>
    <row r="283" spans="1:17">
      <c r="A283" s="182"/>
      <c r="B283" s="182"/>
      <c r="C283" s="182"/>
      <c r="D283" s="184"/>
      <c r="E283" s="184"/>
      <c r="F283" s="184"/>
      <c r="G283" s="182"/>
      <c r="H283" s="182"/>
      <c r="I283" s="184"/>
      <c r="J283" s="182"/>
      <c r="K283" s="182"/>
      <c r="L283" s="182"/>
      <c r="M283" s="184"/>
      <c r="N283" s="184"/>
      <c r="O283" s="182"/>
      <c r="P283" s="182"/>
      <c r="Q283" s="182"/>
    </row>
    <row r="284" spans="1:17">
      <c r="A284" s="182"/>
      <c r="I284" s="184"/>
    </row>
  </sheetData>
  <mergeCells count="2">
    <mergeCell ref="B2:H2"/>
    <mergeCell ref="J2:Q2"/>
  </mergeCells>
  <phoneticPr fontId="20"/>
  <pageMargins left="0.23622047244094491" right="0.23622047244094491" top="0.74803149606299213" bottom="0.74803149606299213" header="0.31496062992125984" footer="0.31496062992125984"/>
  <pageSetup paperSize="8" scale="51" fitToHeight="0" orientation="landscape" horizontalDpi="4294967293" r:id="rId1"/>
  <headerFooter>
    <oddFooter>&amp;L&amp;F_&amp;A&amp;R&amp;N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dimension ref="A1:D50"/>
  <sheetViews>
    <sheetView zoomScale="85" zoomScaleNormal="85" workbookViewId="0"/>
  </sheetViews>
  <sheetFormatPr defaultRowHeight="18.75"/>
  <cols>
    <col min="1" max="1" width="3.88671875" customWidth="1"/>
    <col min="2" max="3" width="12.33203125" customWidth="1"/>
  </cols>
  <sheetData>
    <row r="1" spans="1:4">
      <c r="A1" t="s">
        <v>1225</v>
      </c>
    </row>
    <row r="2" spans="1:4">
      <c r="A2" s="247" t="s">
        <v>1226</v>
      </c>
      <c r="B2" s="248" t="s">
        <v>1348</v>
      </c>
      <c r="C2" s="248" t="s">
        <v>1227</v>
      </c>
      <c r="D2" s="249" t="s">
        <v>1228</v>
      </c>
    </row>
    <row r="3" spans="1:4">
      <c r="A3" s="250">
        <v>0</v>
      </c>
      <c r="B3" s="251" t="s">
        <v>1396</v>
      </c>
      <c r="C3" s="251" t="s">
        <v>1396</v>
      </c>
      <c r="D3" s="252">
        <v>2392</v>
      </c>
    </row>
    <row r="4" spans="1:4">
      <c r="A4" s="250">
        <v>1</v>
      </c>
      <c r="B4" s="251" t="s">
        <v>1229</v>
      </c>
      <c r="C4" s="251" t="s">
        <v>1229</v>
      </c>
      <c r="D4" s="252">
        <v>20624</v>
      </c>
    </row>
    <row r="5" spans="1:4">
      <c r="A5" s="250">
        <v>2</v>
      </c>
      <c r="B5" s="251" t="s">
        <v>1349</v>
      </c>
      <c r="C5" s="251" t="s">
        <v>1230</v>
      </c>
      <c r="D5" s="252">
        <v>20625</v>
      </c>
    </row>
    <row r="6" spans="1:4">
      <c r="A6" s="250">
        <v>3</v>
      </c>
      <c r="B6" s="251" t="s">
        <v>1350</v>
      </c>
      <c r="C6" s="251" t="s">
        <v>1231</v>
      </c>
      <c r="D6" s="252">
        <v>20626</v>
      </c>
    </row>
    <row r="7" spans="1:4">
      <c r="A7" s="250">
        <v>4</v>
      </c>
      <c r="B7" s="251" t="s">
        <v>1351</v>
      </c>
      <c r="C7" s="251" t="s">
        <v>1232</v>
      </c>
      <c r="D7" s="252">
        <v>20627</v>
      </c>
    </row>
    <row r="8" spans="1:4">
      <c r="A8" s="250">
        <v>5</v>
      </c>
      <c r="B8" s="251" t="s">
        <v>1352</v>
      </c>
      <c r="C8" s="251" t="s">
        <v>1233</v>
      </c>
      <c r="D8" s="252">
        <v>20628</v>
      </c>
    </row>
    <row r="9" spans="1:4">
      <c r="A9" s="250">
        <v>6</v>
      </c>
      <c r="B9" s="251" t="s">
        <v>1353</v>
      </c>
      <c r="C9" s="251" t="s">
        <v>1234</v>
      </c>
      <c r="D9" s="252">
        <v>20629</v>
      </c>
    </row>
    <row r="10" spans="1:4">
      <c r="A10" s="250">
        <v>7</v>
      </c>
      <c r="B10" s="251" t="s">
        <v>1354</v>
      </c>
      <c r="C10" s="251" t="s">
        <v>1235</v>
      </c>
      <c r="D10" s="252">
        <v>20630</v>
      </c>
    </row>
    <row r="11" spans="1:4">
      <c r="A11" s="250">
        <v>8</v>
      </c>
      <c r="B11" s="251" t="s">
        <v>1355</v>
      </c>
      <c r="C11" s="251" t="s">
        <v>1236</v>
      </c>
      <c r="D11" s="252">
        <v>20631</v>
      </c>
    </row>
    <row r="12" spans="1:4">
      <c r="A12" s="250">
        <v>9</v>
      </c>
      <c r="B12" s="251" t="s">
        <v>1356</v>
      </c>
      <c r="C12" s="251" t="s">
        <v>1237</v>
      </c>
      <c r="D12" s="252">
        <v>20632</v>
      </c>
    </row>
    <row r="13" spans="1:4">
      <c r="A13" s="250">
        <v>10</v>
      </c>
      <c r="B13" s="251" t="s">
        <v>1357</v>
      </c>
      <c r="C13" s="251" t="s">
        <v>1238</v>
      </c>
      <c r="D13" s="252">
        <v>20633</v>
      </c>
    </row>
    <row r="14" spans="1:4">
      <c r="A14" s="250">
        <v>11</v>
      </c>
      <c r="B14" s="251" t="s">
        <v>1358</v>
      </c>
      <c r="C14" s="251" t="s">
        <v>1239</v>
      </c>
      <c r="D14" s="252">
        <v>20634</v>
      </c>
    </row>
    <row r="15" spans="1:4">
      <c r="A15" s="250">
        <v>12</v>
      </c>
      <c r="B15" s="251" t="s">
        <v>1359</v>
      </c>
      <c r="C15" s="251" t="s">
        <v>1240</v>
      </c>
      <c r="D15" s="252">
        <v>20635</v>
      </c>
    </row>
    <row r="16" spans="1:4">
      <c r="A16" s="250">
        <v>13</v>
      </c>
      <c r="B16" s="251" t="s">
        <v>1392</v>
      </c>
      <c r="C16" s="251" t="s">
        <v>1241</v>
      </c>
      <c r="D16" s="252">
        <v>20636</v>
      </c>
    </row>
    <row r="17" spans="1:4">
      <c r="A17" s="250">
        <v>14</v>
      </c>
      <c r="B17" s="251" t="s">
        <v>1360</v>
      </c>
      <c r="C17" s="251" t="s">
        <v>1242</v>
      </c>
      <c r="D17" s="252">
        <v>20637</v>
      </c>
    </row>
    <row r="18" spans="1:4">
      <c r="A18" s="250">
        <v>15</v>
      </c>
      <c r="B18" s="251" t="s">
        <v>1361</v>
      </c>
      <c r="C18" s="251" t="s">
        <v>1243</v>
      </c>
      <c r="D18" s="252">
        <v>20638</v>
      </c>
    </row>
    <row r="19" spans="1:4">
      <c r="A19" s="250">
        <v>16</v>
      </c>
      <c r="B19" s="251" t="s">
        <v>1362</v>
      </c>
      <c r="C19" s="251" t="s">
        <v>1244</v>
      </c>
      <c r="D19" s="252">
        <v>20639</v>
      </c>
    </row>
    <row r="20" spans="1:4">
      <c r="A20" s="250">
        <v>17</v>
      </c>
      <c r="B20" s="251" t="s">
        <v>1363</v>
      </c>
      <c r="C20" s="251" t="s">
        <v>1245</v>
      </c>
      <c r="D20" s="252">
        <v>20640</v>
      </c>
    </row>
    <row r="21" spans="1:4">
      <c r="A21" s="250">
        <v>18</v>
      </c>
      <c r="B21" s="251" t="s">
        <v>1364</v>
      </c>
      <c r="C21" s="251" t="s">
        <v>1246</v>
      </c>
      <c r="D21" s="252">
        <v>20641</v>
      </c>
    </row>
    <row r="22" spans="1:4">
      <c r="A22" s="250">
        <v>19</v>
      </c>
      <c r="B22" s="251" t="s">
        <v>1365</v>
      </c>
      <c r="C22" s="251" t="s">
        <v>1247</v>
      </c>
      <c r="D22" s="252">
        <v>20642</v>
      </c>
    </row>
    <row r="23" spans="1:4">
      <c r="A23" s="250">
        <v>20</v>
      </c>
      <c r="B23" s="251" t="s">
        <v>1366</v>
      </c>
      <c r="C23" s="251" t="s">
        <v>1248</v>
      </c>
      <c r="D23" s="252">
        <v>20643</v>
      </c>
    </row>
    <row r="24" spans="1:4">
      <c r="A24" s="250">
        <v>21</v>
      </c>
      <c r="B24" s="251" t="s">
        <v>1367</v>
      </c>
      <c r="C24" s="251" t="s">
        <v>1249</v>
      </c>
      <c r="D24" s="252">
        <v>20644</v>
      </c>
    </row>
    <row r="25" spans="1:4">
      <c r="A25" s="250">
        <v>22</v>
      </c>
      <c r="B25" s="251" t="s">
        <v>1368</v>
      </c>
      <c r="C25" s="251" t="s">
        <v>1250</v>
      </c>
      <c r="D25" s="252">
        <v>20645</v>
      </c>
    </row>
    <row r="26" spans="1:4">
      <c r="A26" s="250">
        <v>23</v>
      </c>
      <c r="B26" s="251" t="s">
        <v>1369</v>
      </c>
      <c r="C26" s="251" t="s">
        <v>1251</v>
      </c>
      <c r="D26" s="252">
        <v>20646</v>
      </c>
    </row>
    <row r="27" spans="1:4">
      <c r="A27" s="250">
        <v>24</v>
      </c>
      <c r="B27" s="251" t="s">
        <v>1370</v>
      </c>
      <c r="C27" s="251" t="s">
        <v>1252</v>
      </c>
      <c r="D27" s="252">
        <v>20647</v>
      </c>
    </row>
    <row r="28" spans="1:4">
      <c r="A28" s="250">
        <v>25</v>
      </c>
      <c r="B28" s="251" t="s">
        <v>1371</v>
      </c>
      <c r="C28" s="251" t="s">
        <v>1253</v>
      </c>
      <c r="D28" s="252">
        <v>20648</v>
      </c>
    </row>
    <row r="29" spans="1:4">
      <c r="A29" s="250">
        <v>26</v>
      </c>
      <c r="B29" s="251" t="s">
        <v>1393</v>
      </c>
      <c r="C29" s="251" t="s">
        <v>1254</v>
      </c>
      <c r="D29" s="252">
        <v>20649</v>
      </c>
    </row>
    <row r="30" spans="1:4">
      <c r="A30" s="250">
        <v>27</v>
      </c>
      <c r="B30" s="251" t="s">
        <v>1394</v>
      </c>
      <c r="C30" s="251" t="s">
        <v>1255</v>
      </c>
      <c r="D30" s="252">
        <v>20650</v>
      </c>
    </row>
    <row r="31" spans="1:4">
      <c r="A31" s="250">
        <v>28</v>
      </c>
      <c r="B31" s="251" t="s">
        <v>1372</v>
      </c>
      <c r="C31" s="251" t="s">
        <v>1256</v>
      </c>
      <c r="D31" s="252">
        <v>20651</v>
      </c>
    </row>
    <row r="32" spans="1:4">
      <c r="A32" s="250">
        <v>29</v>
      </c>
      <c r="B32" s="251" t="s">
        <v>1373</v>
      </c>
      <c r="C32" s="251" t="s">
        <v>1257</v>
      </c>
      <c r="D32" s="252">
        <v>20652</v>
      </c>
    </row>
    <row r="33" spans="1:4">
      <c r="A33" s="250">
        <v>30</v>
      </c>
      <c r="B33" s="251" t="s">
        <v>1374</v>
      </c>
      <c r="C33" s="251" t="s">
        <v>1258</v>
      </c>
      <c r="D33" s="252">
        <v>20653</v>
      </c>
    </row>
    <row r="34" spans="1:4">
      <c r="A34" s="250">
        <v>31</v>
      </c>
      <c r="B34" s="251" t="s">
        <v>1375</v>
      </c>
      <c r="C34" s="251" t="s">
        <v>1259</v>
      </c>
      <c r="D34" s="252">
        <v>20654</v>
      </c>
    </row>
    <row r="35" spans="1:4">
      <c r="A35" s="250">
        <v>32</v>
      </c>
      <c r="B35" s="251" t="s">
        <v>1376</v>
      </c>
      <c r="C35" s="251" t="s">
        <v>1260</v>
      </c>
      <c r="D35" s="252">
        <v>20655</v>
      </c>
    </row>
    <row r="36" spans="1:4">
      <c r="A36" s="250">
        <v>33</v>
      </c>
      <c r="B36" s="251" t="s">
        <v>1377</v>
      </c>
      <c r="C36" s="251" t="s">
        <v>1261</v>
      </c>
      <c r="D36" s="252">
        <v>20656</v>
      </c>
    </row>
    <row r="37" spans="1:4">
      <c r="A37" s="250">
        <v>34</v>
      </c>
      <c r="B37" s="251" t="s">
        <v>1378</v>
      </c>
      <c r="C37" s="251" t="s">
        <v>1262</v>
      </c>
      <c r="D37" s="252">
        <v>20657</v>
      </c>
    </row>
    <row r="38" spans="1:4">
      <c r="A38" s="250">
        <v>35</v>
      </c>
      <c r="B38" s="251" t="s">
        <v>1379</v>
      </c>
      <c r="C38" s="251" t="s">
        <v>1263</v>
      </c>
      <c r="D38" s="252">
        <v>20658</v>
      </c>
    </row>
    <row r="39" spans="1:4">
      <c r="A39" s="250">
        <v>36</v>
      </c>
      <c r="B39" s="251" t="s">
        <v>1380</v>
      </c>
      <c r="C39" s="251" t="s">
        <v>1264</v>
      </c>
      <c r="D39" s="252">
        <v>20659</v>
      </c>
    </row>
    <row r="40" spans="1:4">
      <c r="A40" s="250">
        <v>37</v>
      </c>
      <c r="B40" s="251" t="s">
        <v>1381</v>
      </c>
      <c r="C40" s="251" t="s">
        <v>1265</v>
      </c>
      <c r="D40" s="252">
        <v>20660</v>
      </c>
    </row>
    <row r="41" spans="1:4">
      <c r="A41" s="250">
        <v>38</v>
      </c>
      <c r="B41" s="251" t="s">
        <v>1382</v>
      </c>
      <c r="C41" s="251" t="s">
        <v>1266</v>
      </c>
      <c r="D41" s="252">
        <v>20661</v>
      </c>
    </row>
    <row r="42" spans="1:4">
      <c r="A42" s="250">
        <v>39</v>
      </c>
      <c r="B42" s="251" t="s">
        <v>1383</v>
      </c>
      <c r="C42" s="251" t="s">
        <v>1267</v>
      </c>
      <c r="D42" s="252">
        <v>20662</v>
      </c>
    </row>
    <row r="43" spans="1:4">
      <c r="A43" s="250">
        <v>40</v>
      </c>
      <c r="B43" s="251" t="s">
        <v>1384</v>
      </c>
      <c r="C43" s="251" t="s">
        <v>1268</v>
      </c>
      <c r="D43" s="252">
        <v>20663</v>
      </c>
    </row>
    <row r="44" spans="1:4">
      <c r="A44" s="250">
        <v>41</v>
      </c>
      <c r="B44" s="251" t="s">
        <v>1385</v>
      </c>
      <c r="C44" s="251" t="s">
        <v>1269</v>
      </c>
      <c r="D44" s="252">
        <v>20664</v>
      </c>
    </row>
    <row r="45" spans="1:4">
      <c r="A45" s="250">
        <v>42</v>
      </c>
      <c r="B45" s="251" t="s">
        <v>1386</v>
      </c>
      <c r="C45" s="251" t="s">
        <v>1270</v>
      </c>
      <c r="D45" s="252">
        <v>20665</v>
      </c>
    </row>
    <row r="46" spans="1:4">
      <c r="A46" s="250">
        <v>43</v>
      </c>
      <c r="B46" s="251" t="s">
        <v>1387</v>
      </c>
      <c r="C46" s="251" t="s">
        <v>1271</v>
      </c>
      <c r="D46" s="252">
        <v>20666</v>
      </c>
    </row>
    <row r="47" spans="1:4">
      <c r="A47" s="250">
        <v>44</v>
      </c>
      <c r="B47" s="251" t="s">
        <v>1388</v>
      </c>
      <c r="C47" s="251" t="s">
        <v>1272</v>
      </c>
      <c r="D47" s="252">
        <v>20667</v>
      </c>
    </row>
    <row r="48" spans="1:4">
      <c r="A48" s="250">
        <v>45</v>
      </c>
      <c r="B48" s="251" t="s">
        <v>1389</v>
      </c>
      <c r="C48" s="251" t="s">
        <v>1273</v>
      </c>
      <c r="D48" s="252">
        <v>20668</v>
      </c>
    </row>
    <row r="49" spans="1:4">
      <c r="A49" s="250">
        <v>46</v>
      </c>
      <c r="B49" s="251" t="s">
        <v>1390</v>
      </c>
      <c r="C49" s="251" t="s">
        <v>1274</v>
      </c>
      <c r="D49" s="252">
        <v>20669</v>
      </c>
    </row>
    <row r="50" spans="1:4">
      <c r="A50" s="253">
        <v>47</v>
      </c>
      <c r="B50" s="254" t="s">
        <v>1391</v>
      </c>
      <c r="C50" s="254" t="s">
        <v>1275</v>
      </c>
      <c r="D50" s="255">
        <v>20670</v>
      </c>
    </row>
  </sheetData>
  <phoneticPr fontId="20"/>
  <pageMargins left="0.7" right="0.7" top="0.75" bottom="0.75" header="0.3" footer="0.3"/>
  <pageSetup paperSize="9" orientation="portrait" horizontalDpi="90" verticalDpi="9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G30"/>
  <sheetViews>
    <sheetView zoomScale="85" zoomScaleNormal="85" workbookViewId="0"/>
  </sheetViews>
  <sheetFormatPr defaultColWidth="6.44140625" defaultRowHeight="14.25"/>
  <cols>
    <col min="1" max="1" width="14" style="402" bestFit="1" customWidth="1"/>
    <col min="2" max="2" width="33.77734375" style="402" bestFit="1" customWidth="1"/>
    <col min="3" max="3" width="3.77734375" style="402" customWidth="1"/>
    <col min="4" max="4" width="41.44140625" style="402" customWidth="1"/>
    <col min="5" max="16384" width="6.44140625" style="402"/>
  </cols>
  <sheetData>
    <row r="1" spans="1:6">
      <c r="A1" s="402" t="s">
        <v>1983</v>
      </c>
    </row>
    <row r="2" spans="1:6" ht="28.5">
      <c r="A2" s="437" t="s">
        <v>738</v>
      </c>
      <c r="B2" s="437" t="s">
        <v>1459</v>
      </c>
      <c r="C2" s="403"/>
      <c r="D2" s="437" t="s">
        <v>1460</v>
      </c>
      <c r="E2" s="404" t="s">
        <v>1461</v>
      </c>
      <c r="F2" s="404" t="s">
        <v>1462</v>
      </c>
    </row>
    <row r="3" spans="1:6">
      <c r="A3" s="405" t="s">
        <v>1463</v>
      </c>
      <c r="B3" s="406"/>
      <c r="C3" s="403"/>
      <c r="D3" s="407" t="s">
        <v>1464</v>
      </c>
      <c r="E3" s="408" t="s">
        <v>1465</v>
      </c>
      <c r="F3" s="408" t="s">
        <v>1465</v>
      </c>
    </row>
    <row r="4" spans="1:6">
      <c r="A4" s="409" t="s">
        <v>1466</v>
      </c>
      <c r="B4" s="410"/>
      <c r="C4" s="403"/>
      <c r="D4" s="407" t="s">
        <v>1467</v>
      </c>
      <c r="E4" s="408" t="s">
        <v>1465</v>
      </c>
      <c r="F4" s="408" t="s">
        <v>1465</v>
      </c>
    </row>
    <row r="5" spans="1:6">
      <c r="A5" s="409" t="s">
        <v>1468</v>
      </c>
      <c r="B5" s="410"/>
      <c r="C5" s="403"/>
      <c r="D5" s="407" t="s">
        <v>1469</v>
      </c>
      <c r="E5" s="408" t="s">
        <v>1465</v>
      </c>
      <c r="F5" s="408" t="s">
        <v>1465</v>
      </c>
    </row>
    <row r="6" spans="1:6">
      <c r="A6" s="409" t="s">
        <v>1470</v>
      </c>
      <c r="B6" s="410"/>
      <c r="C6" s="403"/>
      <c r="D6" s="407" t="s">
        <v>1471</v>
      </c>
      <c r="E6" s="408" t="s">
        <v>1465</v>
      </c>
      <c r="F6" s="408" t="s">
        <v>1465</v>
      </c>
    </row>
    <row r="7" spans="1:6">
      <c r="A7" s="409" t="s">
        <v>1472</v>
      </c>
      <c r="B7" s="411" t="str">
        <f>IF(B3="","",IF(B3="AP＆PF入稿タスクセット",6,3))</f>
        <v/>
      </c>
      <c r="C7" s="403"/>
      <c r="D7" s="407" t="s">
        <v>1473</v>
      </c>
      <c r="E7" s="408" t="s">
        <v>1474</v>
      </c>
      <c r="F7" s="408" t="s">
        <v>1474</v>
      </c>
    </row>
    <row r="8" spans="1:6" ht="18.75">
      <c r="A8" s="412" t="s">
        <v>1475</v>
      </c>
      <c r="B8" s="413"/>
      <c r="C8" s="403"/>
      <c r="D8" s="407" t="s">
        <v>1471</v>
      </c>
      <c r="E8" s="408" t="s">
        <v>1474</v>
      </c>
      <c r="F8" s="408"/>
    </row>
    <row r="9" spans="1:6" ht="18.75">
      <c r="A9" s="409" t="s">
        <v>1476</v>
      </c>
      <c r="B9" s="414"/>
      <c r="C9" s="403"/>
      <c r="D9" s="407" t="s">
        <v>1471</v>
      </c>
      <c r="E9" s="408" t="s">
        <v>1465</v>
      </c>
      <c r="F9" s="408"/>
    </row>
    <row r="10" spans="1:6">
      <c r="A10" s="415" t="s">
        <v>1477</v>
      </c>
      <c r="B10" s="416" t="str">
        <f>TextJoinModule.TEXTJOIN(",",TRUE,キャンペーン!C7:C106)</f>
        <v/>
      </c>
      <c r="C10" s="403"/>
      <c r="D10" s="407" t="s">
        <v>1478</v>
      </c>
      <c r="E10" s="408" t="s">
        <v>1465</v>
      </c>
      <c r="F10" s="408"/>
    </row>
    <row r="11" spans="1:6">
      <c r="A11" s="415" t="s">
        <v>1479</v>
      </c>
      <c r="B11" s="417" t="str">
        <f>TextJoinModule.TEXTJOIN(",",TRUE,キャンペーン!M7:M106)</f>
        <v/>
      </c>
      <c r="C11" s="403"/>
      <c r="D11" s="407" t="s">
        <v>1478</v>
      </c>
      <c r="E11" s="408" t="s">
        <v>1465</v>
      </c>
      <c r="F11" s="408"/>
    </row>
    <row r="12" spans="1:6">
      <c r="A12" s="415" t="s">
        <v>1480</v>
      </c>
      <c r="B12" s="417" t="str">
        <f>TextJoinModule.TEXTJOIN(",",TRUE,キャンペーン!N7:N106)</f>
        <v/>
      </c>
      <c r="C12" s="403"/>
      <c r="D12" s="407" t="s">
        <v>1478</v>
      </c>
      <c r="E12" s="408" t="s">
        <v>1465</v>
      </c>
      <c r="F12" s="408"/>
    </row>
    <row r="13" spans="1:6">
      <c r="A13" s="409" t="s">
        <v>1481</v>
      </c>
      <c r="B13" s="418"/>
      <c r="C13" s="403"/>
      <c r="D13" s="407" t="s">
        <v>1482</v>
      </c>
      <c r="E13" s="408"/>
      <c r="F13" s="408" t="s">
        <v>1465</v>
      </c>
    </row>
    <row r="14" spans="1:6">
      <c r="A14" s="409" t="s">
        <v>1483</v>
      </c>
      <c r="B14" s="419" t="str">
        <f>IF(B13="","",IF(B13=A29,B29,B30))</f>
        <v/>
      </c>
      <c r="C14" s="403"/>
      <c r="D14" s="407" t="s">
        <v>1484</v>
      </c>
      <c r="E14" s="408"/>
      <c r="F14" s="408" t="s">
        <v>1474</v>
      </c>
    </row>
    <row r="15" spans="1:6">
      <c r="A15" s="409" t="s">
        <v>1485</v>
      </c>
      <c r="B15" s="410"/>
      <c r="C15" s="403"/>
      <c r="D15" s="407" t="s">
        <v>1486</v>
      </c>
      <c r="E15" s="408"/>
      <c r="F15" s="408" t="s">
        <v>1474</v>
      </c>
    </row>
    <row r="16" spans="1:6">
      <c r="A16" s="409" t="s">
        <v>1487</v>
      </c>
      <c r="B16" s="410"/>
      <c r="C16" s="403"/>
      <c r="D16" s="407" t="s">
        <v>606</v>
      </c>
      <c r="E16" s="408"/>
      <c r="F16" s="408" t="s">
        <v>1474</v>
      </c>
    </row>
    <row r="17" spans="1:7">
      <c r="A17" s="409" t="s">
        <v>864</v>
      </c>
      <c r="B17" s="410"/>
      <c r="C17" s="403"/>
      <c r="D17" s="407" t="s">
        <v>1488</v>
      </c>
      <c r="E17" s="408"/>
      <c r="F17" s="408" t="s">
        <v>1474</v>
      </c>
    </row>
    <row r="18" spans="1:7">
      <c r="A18" s="409" t="s">
        <v>1489</v>
      </c>
      <c r="B18" s="410"/>
      <c r="C18" s="403"/>
      <c r="D18" s="407" t="s">
        <v>1490</v>
      </c>
      <c r="E18" s="408"/>
      <c r="F18" s="408" t="s">
        <v>1465</v>
      </c>
    </row>
    <row r="19" spans="1:7">
      <c r="A19" s="409" t="s">
        <v>1491</v>
      </c>
      <c r="B19" s="420"/>
      <c r="C19" s="403"/>
      <c r="D19" s="407" t="s">
        <v>1492</v>
      </c>
      <c r="E19" s="408"/>
      <c r="F19" s="408" t="s">
        <v>1465</v>
      </c>
      <c r="G19" s="402" t="s">
        <v>1493</v>
      </c>
    </row>
    <row r="20" spans="1:7">
      <c r="A20" s="409" t="s">
        <v>1494</v>
      </c>
      <c r="B20" s="421"/>
      <c r="C20" s="403"/>
      <c r="D20" s="407" t="s">
        <v>1495</v>
      </c>
      <c r="E20" s="408"/>
      <c r="F20" s="408" t="s">
        <v>1465</v>
      </c>
      <c r="G20" s="402" t="s">
        <v>1496</v>
      </c>
    </row>
    <row r="21" spans="1:7">
      <c r="A21" s="409" t="s">
        <v>1497</v>
      </c>
      <c r="B21" s="421"/>
      <c r="C21" s="403"/>
      <c r="D21" s="407" t="s">
        <v>1495</v>
      </c>
      <c r="E21" s="408"/>
      <c r="F21" s="408" t="s">
        <v>1465</v>
      </c>
      <c r="G21" s="402" t="s">
        <v>1496</v>
      </c>
    </row>
    <row r="22" spans="1:7">
      <c r="A22" s="409" t="s">
        <v>1498</v>
      </c>
      <c r="B22" s="410"/>
      <c r="C22" s="403"/>
      <c r="D22" s="407" t="s">
        <v>1499</v>
      </c>
      <c r="E22" s="408"/>
      <c r="F22" s="408" t="s">
        <v>1465</v>
      </c>
      <c r="G22" s="402" t="s">
        <v>1496</v>
      </c>
    </row>
    <row r="23" spans="1:7">
      <c r="A23" s="409" t="s">
        <v>1500</v>
      </c>
      <c r="B23" s="411"/>
      <c r="C23" s="403"/>
      <c r="D23" s="407" t="s">
        <v>1501</v>
      </c>
      <c r="E23" s="408"/>
      <c r="F23" s="408" t="s">
        <v>1465</v>
      </c>
      <c r="G23" s="402" t="s">
        <v>1496</v>
      </c>
    </row>
    <row r="24" spans="1:7">
      <c r="A24" s="409" t="s">
        <v>1984</v>
      </c>
      <c r="B24" s="422"/>
      <c r="D24" s="407" t="s">
        <v>1985</v>
      </c>
      <c r="E24" s="423"/>
      <c r="F24" s="424" t="s">
        <v>1511</v>
      </c>
      <c r="G24" s="402" t="s">
        <v>1986</v>
      </c>
    </row>
    <row r="25" spans="1:7">
      <c r="A25" s="409" t="s">
        <v>1987</v>
      </c>
      <c r="B25" s="411"/>
      <c r="D25" s="407" t="s">
        <v>1988</v>
      </c>
      <c r="E25" s="423"/>
      <c r="F25" s="424" t="s">
        <v>1511</v>
      </c>
      <c r="G25" s="402" t="s">
        <v>1986</v>
      </c>
    </row>
    <row r="29" spans="1:7">
      <c r="A29" s="425" t="s">
        <v>1502</v>
      </c>
      <c r="B29" s="300" t="s">
        <v>1503</v>
      </c>
    </row>
    <row r="30" spans="1:7">
      <c r="A30" s="426" t="s">
        <v>1504</v>
      </c>
      <c r="B30" s="300" t="s">
        <v>1505</v>
      </c>
    </row>
  </sheetData>
  <phoneticPr fontId="20"/>
  <conditionalFormatting sqref="A8:B9 A10:A12">
    <cfRule type="expression" dxfId="12" priority="13">
      <formula>EXACT($B$3,"BPO入稿タスクセット依頼")</formula>
    </cfRule>
  </conditionalFormatting>
  <conditionalFormatting sqref="A13:B23">
    <cfRule type="expression" dxfId="11" priority="12">
      <formula>EXACT($B$3,"AP＆PF入稿タスクセット")</formula>
    </cfRule>
  </conditionalFormatting>
  <conditionalFormatting sqref="A19:B19">
    <cfRule type="expression" dxfId="10" priority="11">
      <formula>EXACT($B$18,"ルーチン")</formula>
    </cfRule>
  </conditionalFormatting>
  <conditionalFormatting sqref="A20:B23">
    <cfRule type="expression" dxfId="9" priority="10">
      <formula>EXACT($B$18,"アドホック")</formula>
    </cfRule>
  </conditionalFormatting>
  <conditionalFormatting sqref="B10:B12">
    <cfRule type="expression" dxfId="8" priority="9">
      <formula>EXACT($B$3,"BPO入稿タスクセット依頼")</formula>
    </cfRule>
  </conditionalFormatting>
  <conditionalFormatting sqref="A24:A25">
    <cfRule type="expression" dxfId="7" priority="8">
      <formula>EXACT($B$3,"AP＆PF入稿タスクセット")</formula>
    </cfRule>
  </conditionalFormatting>
  <conditionalFormatting sqref="A24:A25">
    <cfRule type="expression" dxfId="6" priority="7">
      <formula>EXACT($B$18,"アドホック")</formula>
    </cfRule>
  </conditionalFormatting>
  <conditionalFormatting sqref="B24:B25">
    <cfRule type="expression" dxfId="5" priority="6">
      <formula>EXACT($B$3,"AP＆PF入稿タスクセット")</formula>
    </cfRule>
  </conditionalFormatting>
  <conditionalFormatting sqref="B24:B25">
    <cfRule type="expression" dxfId="4" priority="5">
      <formula>EXACT($B$18,"アドホック")</formula>
    </cfRule>
  </conditionalFormatting>
  <conditionalFormatting sqref="A24:B24">
    <cfRule type="expression" dxfId="3" priority="3">
      <formula>EXACT($B$22,"日次")</formula>
    </cfRule>
    <cfRule type="expression" dxfId="2" priority="4">
      <formula>EXACT($B$22,"月次")</formula>
    </cfRule>
  </conditionalFormatting>
  <conditionalFormatting sqref="A25:B25">
    <cfRule type="expression" dxfId="1" priority="1">
      <formula>EXACT($B$22,"週次")</formula>
    </cfRule>
    <cfRule type="expression" dxfId="0" priority="2">
      <formula>EXACT($B$22,"日次")</formula>
    </cfRule>
  </conditionalFormatting>
  <dataValidations count="6">
    <dataValidation type="list" allowBlank="1" showInputMessage="1" showErrorMessage="1" sqref="B24" xr:uid="{00000000-0002-0000-1C00-000000000000}">
      <formula1>" ',月,火,水,木,金"</formula1>
    </dataValidation>
    <dataValidation type="date" operator="greaterThanOrEqual" allowBlank="1" showInputMessage="1" showErrorMessage="1" errorTitle="エラー" error="初回納期より過去の日付を入力することはできません。" sqref="B21" xr:uid="{00000000-0002-0000-1C00-000001000000}">
      <formula1>B20</formula1>
    </dataValidation>
    <dataValidation type="list" allowBlank="1" showInputMessage="1" showErrorMessage="1" sqref="B3" xr:uid="{00000000-0002-0000-1C00-000002000000}">
      <formula1>"AP＆PF入稿タスクセット,BPO入稿タスクセット依頼"</formula1>
    </dataValidation>
    <dataValidation type="list" allowBlank="1" showInputMessage="1" showErrorMessage="1" sqref="B13" xr:uid="{00000000-0002-0000-1C00-000003000000}">
      <formula1>"',ＤＯＰ,ＷＣ"</formula1>
    </dataValidation>
    <dataValidation type="list" allowBlank="1" showInputMessage="1" showErrorMessage="1" sqref="B18" xr:uid="{00000000-0002-0000-1C00-000004000000}">
      <formula1>"アドホック,ルーチン"</formula1>
    </dataValidation>
    <dataValidation type="list" allowBlank="1" showInputMessage="1" showErrorMessage="1" sqref="B22" xr:uid="{00000000-0002-0000-1C00-000005000000}">
      <formula1>"日次,週次,月次"</formula1>
    </dataValidation>
  </dataValidations>
  <hyperlinks>
    <hyperlink ref="B29" r:id="rId1" display="DOP_tantou@dentsudigital.co.jp" xr:uid="{00000000-0004-0000-1C00-000000000000}"/>
    <hyperlink ref="B30" r:id="rId2" display="WC_tantou@dentsudigital.co.jp" xr:uid="{00000000-0004-0000-1C00-000001000000}"/>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dimension ref="A1:G33"/>
  <sheetViews>
    <sheetView zoomScale="85" zoomScaleNormal="85" workbookViewId="0"/>
  </sheetViews>
  <sheetFormatPr defaultColWidth="6.44140625" defaultRowHeight="9.75"/>
  <cols>
    <col min="1" max="1" width="31.88671875" style="436" customWidth="1"/>
    <col min="2" max="2" width="34.33203125" style="427" customWidth="1"/>
    <col min="3" max="3" width="3.77734375" style="427" customWidth="1"/>
    <col min="4" max="4" width="45.109375" style="427" customWidth="1"/>
    <col min="5" max="16384" width="6.44140625" style="427"/>
  </cols>
  <sheetData>
    <row r="1" spans="1:7" ht="16.5">
      <c r="A1" s="438" t="s">
        <v>738</v>
      </c>
      <c r="B1" s="438" t="s">
        <v>1459</v>
      </c>
      <c r="D1" s="439"/>
      <c r="E1" s="428" t="s">
        <v>1461</v>
      </c>
      <c r="F1" s="428" t="s">
        <v>1462</v>
      </c>
      <c r="G1" s="428" t="s">
        <v>1506</v>
      </c>
    </row>
    <row r="2" spans="1:7">
      <c r="A2" s="429" t="s">
        <v>1466</v>
      </c>
      <c r="B2" s="430">
        <f>WM用入力シート!B4</f>
        <v>0</v>
      </c>
      <c r="D2" s="431" t="s">
        <v>1507</v>
      </c>
      <c r="E2" s="423" t="s">
        <v>1508</v>
      </c>
      <c r="F2" s="423" t="s">
        <v>1508</v>
      </c>
      <c r="G2" s="423" t="s">
        <v>1989</v>
      </c>
    </row>
    <row r="3" spans="1:7">
      <c r="A3" s="429" t="s">
        <v>1509</v>
      </c>
      <c r="B3" s="430">
        <f>WM用入力シート!B5</f>
        <v>0</v>
      </c>
      <c r="D3" s="431" t="s">
        <v>1488</v>
      </c>
      <c r="E3" s="423" t="s">
        <v>1508</v>
      </c>
      <c r="F3" s="423" t="s">
        <v>1508</v>
      </c>
    </row>
    <row r="4" spans="1:7">
      <c r="A4" s="429" t="s">
        <v>1470</v>
      </c>
      <c r="B4" s="432">
        <f>WM用入力シート!B6</f>
        <v>0</v>
      </c>
      <c r="D4" s="431" t="s">
        <v>1510</v>
      </c>
      <c r="E4" s="423" t="s">
        <v>1508</v>
      </c>
      <c r="F4" s="423" t="s">
        <v>1508</v>
      </c>
    </row>
    <row r="5" spans="1:7">
      <c r="A5" s="429" t="s">
        <v>1483</v>
      </c>
      <c r="B5" s="430" t="str">
        <f>IF(B31=20,WM用入力シート!B14,"")</f>
        <v/>
      </c>
      <c r="D5" s="431" t="s">
        <v>1510</v>
      </c>
      <c r="E5" s="423"/>
      <c r="F5" s="423" t="s">
        <v>1511</v>
      </c>
    </row>
    <row r="6" spans="1:7">
      <c r="A6" s="429" t="s">
        <v>1481</v>
      </c>
      <c r="B6" s="430">
        <f>IF(B31=20,WM用入力シート!B13,"")</f>
        <v>0</v>
      </c>
      <c r="D6" s="431" t="s">
        <v>1512</v>
      </c>
      <c r="E6" s="423"/>
      <c r="F6" s="423" t="s">
        <v>1508</v>
      </c>
    </row>
    <row r="7" spans="1:7">
      <c r="A7" s="429" t="s">
        <v>1472</v>
      </c>
      <c r="B7" s="430" t="str">
        <f>WM用入力シート!B7&amp;""</f>
        <v/>
      </c>
      <c r="D7" s="431" t="s">
        <v>1513</v>
      </c>
      <c r="E7" s="423" t="s">
        <v>1511</v>
      </c>
      <c r="F7" s="423" t="s">
        <v>1511</v>
      </c>
    </row>
    <row r="8" spans="1:7">
      <c r="A8" s="433" t="s">
        <v>1514</v>
      </c>
      <c r="B8" s="434"/>
      <c r="D8" s="431" t="s">
        <v>1515</v>
      </c>
      <c r="E8" s="423"/>
      <c r="F8" s="423"/>
    </row>
    <row r="9" spans="1:7">
      <c r="A9" s="433" t="s">
        <v>1516</v>
      </c>
      <c r="B9" s="434"/>
      <c r="D9" s="431" t="s">
        <v>1488</v>
      </c>
      <c r="E9" s="423"/>
      <c r="F9" s="423"/>
    </row>
    <row r="10" spans="1:7">
      <c r="A10" s="429" t="s">
        <v>1485</v>
      </c>
      <c r="B10" s="430" t="str">
        <f>IF(B31=20,WM用入力シート!B15,"")&amp;""</f>
        <v/>
      </c>
      <c r="D10" s="431" t="s">
        <v>1488</v>
      </c>
      <c r="E10" s="423"/>
      <c r="F10" s="423" t="s">
        <v>1511</v>
      </c>
    </row>
    <row r="11" spans="1:7">
      <c r="A11" s="429" t="s">
        <v>1487</v>
      </c>
      <c r="B11" s="430" t="str">
        <f>IF(B31=20,WM用入力シート!B16,"")&amp;""</f>
        <v/>
      </c>
      <c r="D11" s="431" t="s">
        <v>1488</v>
      </c>
      <c r="E11" s="423"/>
      <c r="F11" s="423" t="s">
        <v>1511</v>
      </c>
    </row>
    <row r="12" spans="1:7">
      <c r="A12" s="433" t="s">
        <v>1517</v>
      </c>
      <c r="B12" s="434"/>
      <c r="D12" s="431" t="s">
        <v>1488</v>
      </c>
      <c r="E12" s="423"/>
      <c r="F12" s="423"/>
    </row>
    <row r="13" spans="1:7">
      <c r="A13" s="433" t="s">
        <v>1518</v>
      </c>
      <c r="B13" s="434"/>
      <c r="D13" s="431" t="s">
        <v>1488</v>
      </c>
      <c r="E13" s="423"/>
      <c r="F13" s="423"/>
    </row>
    <row r="14" spans="1:7">
      <c r="A14" s="433" t="s">
        <v>1519</v>
      </c>
      <c r="B14" s="434"/>
      <c r="D14" s="431" t="s">
        <v>1488</v>
      </c>
      <c r="E14" s="423"/>
      <c r="F14" s="423"/>
    </row>
    <row r="15" spans="1:7">
      <c r="A15" s="433" t="s">
        <v>1520</v>
      </c>
      <c r="B15" s="434"/>
      <c r="D15" s="431" t="s">
        <v>1488</v>
      </c>
      <c r="E15" s="423"/>
      <c r="F15" s="423"/>
    </row>
    <row r="16" spans="1:7">
      <c r="A16" s="433" t="s">
        <v>1521</v>
      </c>
      <c r="B16" s="434"/>
      <c r="D16" s="431" t="s">
        <v>1488</v>
      </c>
      <c r="E16" s="423"/>
      <c r="F16" s="423"/>
    </row>
    <row r="17" spans="1:6">
      <c r="A17" s="429" t="s">
        <v>864</v>
      </c>
      <c r="B17" s="430" t="str">
        <f>IF(B31=20,WM用入力シート!B17,"")&amp;""</f>
        <v/>
      </c>
      <c r="D17" s="431" t="s">
        <v>1488</v>
      </c>
      <c r="E17" s="423"/>
      <c r="F17" s="423" t="s">
        <v>1511</v>
      </c>
    </row>
    <row r="18" spans="1:6">
      <c r="A18" s="433" t="s">
        <v>1522</v>
      </c>
      <c r="B18" s="434"/>
      <c r="D18" s="431" t="s">
        <v>1523</v>
      </c>
      <c r="E18" s="423"/>
      <c r="F18" s="423"/>
    </row>
    <row r="19" spans="1:6">
      <c r="A19" s="433" t="s">
        <v>1524</v>
      </c>
      <c r="B19" s="434"/>
      <c r="D19" s="431" t="s">
        <v>1488</v>
      </c>
      <c r="E19" s="423"/>
      <c r="F19" s="423"/>
    </row>
    <row r="20" spans="1:6">
      <c r="A20" s="429" t="s">
        <v>1489</v>
      </c>
      <c r="B20" s="430">
        <f>IF(B31=20,IF(WM用入力シート!B18="アドホック",10,IF(WM用入力シート!B18="ルーチン",20,0)),"")</f>
        <v>0</v>
      </c>
      <c r="D20" s="431" t="s">
        <v>1525</v>
      </c>
      <c r="E20" s="423"/>
      <c r="F20" s="423" t="s">
        <v>1508</v>
      </c>
    </row>
    <row r="21" spans="1:6">
      <c r="A21" s="429" t="s">
        <v>1491</v>
      </c>
      <c r="B21" s="301" t="str">
        <f>IF(B31=20,IF(B20=10,TEXT(WM用入力シート!B19,"YYYY/MM/DD"),""),"")</f>
        <v/>
      </c>
      <c r="D21" s="431" t="s">
        <v>1526</v>
      </c>
      <c r="E21" s="423"/>
      <c r="F21" s="423" t="s">
        <v>1508</v>
      </c>
    </row>
    <row r="22" spans="1:6">
      <c r="A22" s="429" t="s">
        <v>1494</v>
      </c>
      <c r="B22" s="430" t="str">
        <f>IF(B31=20,IF(B20=20,TEXT(WM用入力シート!B20,"YYYY/MM/DD"),""),"")</f>
        <v/>
      </c>
      <c r="D22" s="431" t="s">
        <v>1526</v>
      </c>
      <c r="E22" s="423"/>
      <c r="F22" s="423" t="s">
        <v>1508</v>
      </c>
    </row>
    <row r="23" spans="1:6">
      <c r="A23" s="429" t="s">
        <v>1497</v>
      </c>
      <c r="B23" s="430" t="str">
        <f>IF(B31=20,IF(B20=20,TEXT(WM用入力シート!B21,"YYYY/MM/DD"),""),"")</f>
        <v/>
      </c>
      <c r="D23" s="431" t="s">
        <v>1526</v>
      </c>
      <c r="E23" s="423"/>
      <c r="F23" s="423" t="s">
        <v>1508</v>
      </c>
    </row>
    <row r="24" spans="1:6">
      <c r="A24" s="429" t="s">
        <v>1498</v>
      </c>
      <c r="B24" s="430" t="str">
        <f>IF(B31=20,IF(B20=20,IF(WM用入力シート!B22="日次",100,IF(WM用入力シート!B22="週次",200,300)),""),"")</f>
        <v/>
      </c>
      <c r="D24" s="431" t="s">
        <v>1527</v>
      </c>
      <c r="E24" s="423"/>
      <c r="F24" s="423" t="s">
        <v>1508</v>
      </c>
    </row>
    <row r="25" spans="1:6">
      <c r="A25" s="429" t="s">
        <v>1500</v>
      </c>
      <c r="B25" s="430" t="str">
        <f>IF(B31=20,IF(B20=20,WM用入力シート!B23,""),"")</f>
        <v/>
      </c>
      <c r="D25" s="431" t="s">
        <v>1527</v>
      </c>
      <c r="E25" s="423"/>
      <c r="F25" s="423" t="s">
        <v>1508</v>
      </c>
    </row>
    <row r="26" spans="1:6">
      <c r="A26" s="429" t="s">
        <v>1475</v>
      </c>
      <c r="B26" s="432" t="str">
        <f>IF(B31=10,WM用入力シート!B8,"")&amp;""</f>
        <v/>
      </c>
      <c r="D26" s="431" t="s">
        <v>1510</v>
      </c>
      <c r="E26" s="423" t="s">
        <v>1508</v>
      </c>
      <c r="F26" s="423"/>
    </row>
    <row r="27" spans="1:6">
      <c r="A27" s="429" t="s">
        <v>1476</v>
      </c>
      <c r="B27" s="432" t="str">
        <f>IF(B31=10,WM用入力シート!B9,"")&amp;""</f>
        <v/>
      </c>
      <c r="D27" s="431" t="s">
        <v>1510</v>
      </c>
      <c r="E27" s="423" t="s">
        <v>1508</v>
      </c>
      <c r="F27" s="423"/>
    </row>
    <row r="28" spans="1:6">
      <c r="A28" s="435" t="s">
        <v>1477</v>
      </c>
      <c r="B28" s="430" t="str">
        <f>IF(B31=10,WM用入力シート!B10,"")&amp;""</f>
        <v/>
      </c>
      <c r="D28" s="431" t="s">
        <v>1488</v>
      </c>
      <c r="E28" s="423" t="s">
        <v>1508</v>
      </c>
      <c r="F28" s="423"/>
    </row>
    <row r="29" spans="1:6">
      <c r="A29" s="435" t="s">
        <v>1479</v>
      </c>
      <c r="B29" s="430" t="str">
        <f>IF(B31=10,TEXT(WM用入力シート!B11,"YYYY/MM/DD"),"")&amp;""</f>
        <v/>
      </c>
      <c r="D29" s="431" t="s">
        <v>1528</v>
      </c>
      <c r="E29" s="423" t="s">
        <v>1508</v>
      </c>
      <c r="F29" s="423"/>
    </row>
    <row r="30" spans="1:6">
      <c r="A30" s="435" t="s">
        <v>1480</v>
      </c>
      <c r="B30" s="430" t="str">
        <f>IF(B31=10,TEXT(WM用入力シート!B12,"YYYY/MM/DD"),"")&amp;""</f>
        <v/>
      </c>
      <c r="D30" s="431" t="s">
        <v>1528</v>
      </c>
      <c r="E30" s="423" t="s">
        <v>1508</v>
      </c>
      <c r="F30" s="423"/>
    </row>
    <row r="31" spans="1:6">
      <c r="A31" s="435" t="s">
        <v>1463</v>
      </c>
      <c r="B31" s="430">
        <f>IF(WM用入力シート!B3="AP＆PF入稿タスクセット",10,20)</f>
        <v>20</v>
      </c>
      <c r="D31" s="431" t="s">
        <v>1529</v>
      </c>
      <c r="E31" s="423" t="s">
        <v>1508</v>
      </c>
      <c r="F31" s="423" t="s">
        <v>1508</v>
      </c>
    </row>
    <row r="32" spans="1:6">
      <c r="A32" s="435" t="s">
        <v>1984</v>
      </c>
      <c r="B32" s="435" t="str">
        <f>IF(B31=20,IF(B20=20,IF(B24=200,IF(WM用入力シート!B24="月",1,IF(WM用入力シート!B24="火",2,IF(WM用入力シート!B24="水",3,IF(WM用入力シート!B24="木",4,IF(WM用入力シート!B24="金",5,""))))),""),""),"")</f>
        <v/>
      </c>
      <c r="D32" s="435" t="s">
        <v>1990</v>
      </c>
      <c r="E32" s="435"/>
      <c r="F32" s="423" t="s">
        <v>1511</v>
      </c>
    </row>
    <row r="33" spans="1:6">
      <c r="A33" s="435" t="s">
        <v>1987</v>
      </c>
      <c r="B33" s="435" t="str">
        <f>IF(B31=20,IF(B20=20,IF(B24=300,WM用入力シート!B25,""),""),"")&amp;""</f>
        <v/>
      </c>
      <c r="D33" s="435" t="s">
        <v>1991</v>
      </c>
      <c r="E33" s="435"/>
      <c r="F33" s="423" t="s">
        <v>1511</v>
      </c>
    </row>
  </sheetData>
  <phoneticPr fontId="2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97</vt:i4>
      </vt:variant>
    </vt:vector>
  </HeadingPairs>
  <TitlesOfParts>
    <vt:vector size="127" baseType="lpstr">
      <vt:lpstr>表紙</vt:lpstr>
      <vt:lpstr>必須マスタ</vt:lpstr>
      <vt:lpstr>デフォルト設定</vt:lpstr>
      <vt:lpstr>必須チェック</vt:lpstr>
      <vt:lpstr>変更履歴</vt:lpstr>
      <vt:lpstr>入力規則</vt:lpstr>
      <vt:lpstr>アカウント設定情報</vt:lpstr>
      <vt:lpstr>キャンペーン</vt:lpstr>
      <vt:lpstr>広告グループ</vt:lpstr>
      <vt:lpstr>キーワード（指定）</vt:lpstr>
      <vt:lpstr>キーワード（掛け合わせ）</vt:lpstr>
      <vt:lpstr>拡張テキスト</vt:lpstr>
      <vt:lpstr>レスポンシブ検索(β)</vt:lpstr>
      <vt:lpstr>レスポンシブ検索(β) ※入稿用</vt:lpstr>
      <vt:lpstr>広告表示オプション（関連付け）</vt:lpstr>
      <vt:lpstr>広告表示オプション（共有）</vt:lpstr>
      <vt:lpstr>ユーザーリスト（単体）</vt:lpstr>
      <vt:lpstr>ユーザーリスト（組み合わせ）</vt:lpstr>
      <vt:lpstr>ターゲティング（関連付け）※AP記載用</vt:lpstr>
      <vt:lpstr>ターゲティング（関連付け）</vt:lpstr>
      <vt:lpstr>掲載イメージ_拡張テキスト</vt:lpstr>
      <vt:lpstr>除外キーワード（指定）</vt:lpstr>
      <vt:lpstr>地域設定</vt:lpstr>
      <vt:lpstr>時間設定</vt:lpstr>
      <vt:lpstr>広告カスタマイザフィード</vt:lpstr>
      <vt:lpstr>ロボ用入稿シート確認表</vt:lpstr>
      <vt:lpstr>対応表_転記</vt:lpstr>
      <vt:lpstr>ID変換</vt:lpstr>
      <vt:lpstr>WM用入力シート</vt:lpstr>
      <vt:lpstr>system</vt:lpstr>
      <vt:lpstr>AND</vt:lpstr>
      <vt:lpstr>CVタグ発行</vt:lpstr>
      <vt:lpstr>G_キャンペーンタイプ</vt:lpstr>
      <vt:lpstr>G_マッチタイプ</vt:lpstr>
      <vt:lpstr>G_広告配信最適化</vt:lpstr>
      <vt:lpstr>G_設定粒度</vt:lpstr>
      <vt:lpstr>G_入札戦略</vt:lpstr>
      <vt:lpstr>G_年齢</vt:lpstr>
      <vt:lpstr>G_年齢下限</vt:lpstr>
      <vt:lpstr>G_年齢上限</vt:lpstr>
      <vt:lpstr>G_配信方法</vt:lpstr>
      <vt:lpstr>G_曜日</vt:lpstr>
      <vt:lpstr>KPI</vt:lpstr>
      <vt:lpstr>OR</vt:lpstr>
      <vt:lpstr>ORかAND</vt:lpstr>
      <vt:lpstr>OS</vt:lpstr>
      <vt:lpstr>'キーワード（掛け合わせ）'!Print_Area</vt:lpstr>
      <vt:lpstr>'キーワード（指定）'!Print_Area</vt:lpstr>
      <vt:lpstr>'ターゲティング（関連付け）'!Print_Area</vt:lpstr>
      <vt:lpstr>'ターゲティング（関連付け）※AP記載用'!Print_Area</vt:lpstr>
      <vt:lpstr>デフォルト設定!Print_Area</vt:lpstr>
      <vt:lpstr>'ユーザーリスト（組み合わせ）'!Print_Area</vt:lpstr>
      <vt:lpstr>'レスポンシブ検索(β)'!Print_Area</vt:lpstr>
      <vt:lpstr>'レスポンシブ検索(β) ※入稿用'!Print_Area</vt:lpstr>
      <vt:lpstr>拡張テキスト!Print_Area</vt:lpstr>
      <vt:lpstr>広告カスタマイザフィード!Print_Area</vt:lpstr>
      <vt:lpstr>広告グループ!Print_Area</vt:lpstr>
      <vt:lpstr>'広告表示オプション（関連付け）'!Print_Area</vt:lpstr>
      <vt:lpstr>'広告表示オプション（共有）'!Print_Area</vt:lpstr>
      <vt:lpstr>時間設定!Print_Area</vt:lpstr>
      <vt:lpstr>'除外キーワード（指定）'!Print_Area</vt:lpstr>
      <vt:lpstr>地域設定!Print_Area</vt:lpstr>
      <vt:lpstr>変更履歴!Print_Area</vt:lpstr>
      <vt:lpstr>RMタグ発行</vt:lpstr>
      <vt:lpstr>URL</vt:lpstr>
      <vt:lpstr>Y_キャンペーンタイプ</vt:lpstr>
      <vt:lpstr>Y_マッチタイプ</vt:lpstr>
      <vt:lpstr>Y_広告配信最適化</vt:lpstr>
      <vt:lpstr>Y_設定粒度</vt:lpstr>
      <vt:lpstr>Y_入札戦略</vt:lpstr>
      <vt:lpstr>Y_配信方法</vt:lpstr>
      <vt:lpstr>Y_曜日</vt:lpstr>
      <vt:lpstr>オーディエンスの初期サイズ</vt:lpstr>
      <vt:lpstr>カスタマイザフィード</vt:lpstr>
      <vt:lpstr>ステータス</vt:lpstr>
      <vt:lpstr>ターゲット設定</vt:lpstr>
      <vt:lpstr>ターゲット地域の詳細設定</vt:lpstr>
      <vt:lpstr>ターゲティングソース</vt:lpstr>
      <vt:lpstr>タグソース</vt:lpstr>
      <vt:lpstr>デバイス</vt:lpstr>
      <vt:lpstr>デバイス※SPのみの場合</vt:lpstr>
      <vt:lpstr>フィー方式</vt:lpstr>
      <vt:lpstr>プロモーションの種類</vt:lpstr>
      <vt:lpstr>プロモーションの詳細</vt:lpstr>
      <vt:lpstr>ユーザーリスト_タイプ</vt:lpstr>
      <vt:lpstr>ユニット</vt:lpstr>
      <vt:lpstr>リストに追加するユーザー※URL</vt:lpstr>
      <vt:lpstr>リストに追加するユーザー※動画</vt:lpstr>
      <vt:lpstr>ルールグループ</vt:lpstr>
      <vt:lpstr>引き上げ率</vt:lpstr>
      <vt:lpstr>価格修飾子</vt:lpstr>
      <vt:lpstr>可否</vt:lpstr>
      <vt:lpstr>拡張CPC</vt:lpstr>
      <vt:lpstr>検索パートナーの有無</vt:lpstr>
      <vt:lpstr>見出し位置</vt:lpstr>
      <vt:lpstr>言語</vt:lpstr>
      <vt:lpstr>広告グループの種類</vt:lpstr>
      <vt:lpstr>広告掲載方式の指定</vt:lpstr>
      <vt:lpstr>広告表示_タイプ</vt:lpstr>
      <vt:lpstr>広告表示_言語</vt:lpstr>
      <vt:lpstr>構造化スニペットラベル</vt:lpstr>
      <vt:lpstr>行事</vt:lpstr>
      <vt:lpstr>柔軟なリーチ※Adg単位</vt:lpstr>
      <vt:lpstr>除外地域判定</vt:lpstr>
      <vt:lpstr>除外用_ターゲット地域の詳細設定</vt:lpstr>
      <vt:lpstr>小売チェーン</vt:lpstr>
      <vt:lpstr>条件</vt:lpstr>
      <vt:lpstr>世帯収入</vt:lpstr>
      <vt:lpstr>世帯収入下限</vt:lpstr>
      <vt:lpstr>世帯収入上限</vt:lpstr>
      <vt:lpstr>性別</vt:lpstr>
      <vt:lpstr>説明文_位置</vt:lpstr>
      <vt:lpstr>説明文位置</vt:lpstr>
      <vt:lpstr>選択肢なし</vt:lpstr>
      <vt:lpstr>組み合わせルール</vt:lpstr>
      <vt:lpstr>通貨</vt:lpstr>
      <vt:lpstr>動的ターゲット</vt:lpstr>
      <vt:lpstr>入札単価調整比</vt:lpstr>
      <vt:lpstr>入札方法</vt:lpstr>
      <vt:lpstr>配信</vt:lpstr>
      <vt:lpstr>配信対象のユーザー</vt:lpstr>
      <vt:lpstr>配信地域判定</vt:lpstr>
      <vt:lpstr>媒体</vt:lpstr>
      <vt:lpstr>不明有無</vt:lpstr>
      <vt:lpstr>訪問日条件</vt:lpstr>
      <vt:lpstr>訪問履歴の蓄積</vt:lpstr>
      <vt:lpstr>有無</vt:lpstr>
    </vt:vector>
  </TitlesOfParts>
  <Company>電通</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電通</dc:creator>
  <cp:lastModifiedBy>Windows ユーザー</cp:lastModifiedBy>
  <cp:lastPrinted>2017-12-07T01:59:37Z</cp:lastPrinted>
  <dcterms:created xsi:type="dcterms:W3CDTF">2016-04-25T04:37:47Z</dcterms:created>
  <dcterms:modified xsi:type="dcterms:W3CDTF">2019-09-03T03:09:29Z</dcterms:modified>
</cp:coreProperties>
</file>